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pivotTables/pivotTable9.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3109414F-3D16-481A-9591-F5D057869AB2}" xr6:coauthVersionLast="47" xr6:coauthVersionMax="47" xr10:uidLastSave="{00000000-0000-0000-0000-000000000000}"/>
  <bookViews>
    <workbookView xWindow="-108" yWindow="-108" windowWidth="23256" windowHeight="12456" activeTab="3" xr2:uid="{346724B3-1C49-40AE-AA36-C77CF5D6DD09}"/>
  </bookViews>
  <sheets>
    <sheet name="Pivot" sheetId="6" r:id="rId1"/>
    <sheet name="Pivot2" sheetId="7" r:id="rId2"/>
    <sheet name="Data" sheetId="1" r:id="rId3"/>
    <sheet name="Questions &amp; KPIs" sheetId="2" r:id="rId4"/>
    <sheet name="Dashboard" sheetId="3" r:id="rId5"/>
    <sheet name="Logo &amp; Colors" sheetId="4" r:id="rId6"/>
  </sheets>
  <definedNames>
    <definedName name="_xlchart.v5.0" hidden="1">Pivot!$I$83:$J$83</definedName>
    <definedName name="_xlchart.v5.1" hidden="1">Pivot!$I$84:$J$141</definedName>
    <definedName name="_xlchart.v5.10" hidden="1">Pivot!$H$83</definedName>
    <definedName name="_xlchart.v5.11" hidden="1">Pivot!$H$84:$H$141</definedName>
    <definedName name="_xlchart.v5.2" hidden="1">Pivot!$K$83</definedName>
    <definedName name="_xlchart.v5.3" hidden="1">Pivot!$K$84:$K$141</definedName>
    <definedName name="_xlchart.v5.4" hidden="1">Pivot!$F$83:$G$83</definedName>
    <definedName name="_xlchart.v5.5" hidden="1">Pivot!$F$84:$G$141</definedName>
    <definedName name="_xlchart.v5.6" hidden="1">Pivot!$H$83</definedName>
    <definedName name="_xlchart.v5.7" hidden="1">Pivot!$H$84:$H$141</definedName>
    <definedName name="_xlchart.v5.8" hidden="1">Pivot!$F$83:$G$83</definedName>
    <definedName name="_xlchart.v5.9" hidden="1">Pivot!$F$84:$G$141</definedName>
    <definedName name="Slicer_Gender_Value">#N/A</definedName>
    <definedName name="Slicer_Order_Mode">#N/A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5" i="6" l="1"/>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84" i="6"/>
  <c r="I6" i="7"/>
  <c r="J6" i="7"/>
  <c r="K6" i="7"/>
  <c r="L6" i="7"/>
  <c r="I7" i="7"/>
  <c r="J7" i="7"/>
  <c r="K7" i="7"/>
  <c r="L7" i="7"/>
  <c r="I8" i="7"/>
  <c r="J8" i="7"/>
  <c r="K8" i="7"/>
  <c r="L8" i="7"/>
  <c r="I9" i="7"/>
  <c r="J9" i="7"/>
  <c r="K9" i="7"/>
  <c r="L9" i="7"/>
  <c r="J5" i="7"/>
  <c r="K5" i="7"/>
  <c r="L5" i="7"/>
  <c r="J4" i="7"/>
  <c r="K4" i="7"/>
  <c r="L4" i="7"/>
  <c r="I4" i="7"/>
  <c r="I5" i="7"/>
  <c r="H6" i="7"/>
  <c r="H7" i="7"/>
  <c r="H8" i="7"/>
  <c r="H9" i="7"/>
  <c r="H5" i="7"/>
  <c r="K4" i="6"/>
  <c r="J4" i="6"/>
  <c r="H4" i="6"/>
  <c r="I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<sst xmlns="http://schemas.openxmlformats.org/spreadsheetml/2006/main" count="14677" uniqueCount="2634">
  <si>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</si>
  <si>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</si>
  <si>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</si>
  <si>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</si>
  <si>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</si>
  <si>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</si>
  <si>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</si>
  <si>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</si>
  <si>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</si>
  <si>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</si>
  <si>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</si>
  <si>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</si>
  <si>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</si>
  <si>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</si>
  <si>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</si>
  <si>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</si>
  <si>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</si>
  <si>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</si>
  <si>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</si>
  <si>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</si>
  <si>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</si>
  <si>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</si>
  <si>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</si>
  <si>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</si>
  <si>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</si>
  <si>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</si>
  <si>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</si>
  <si>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</si>
  <si>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</si>
  <si>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</si>
  <si>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</si>
  <si>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</si>
  <si>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</si>
  <si>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</si>
  <si>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</si>
  <si>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</si>
  <si>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</si>
  <si>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</si>
  <si>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</si>
  <si>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</si>
  <si>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</si>
  <si>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</si>
  <si>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</si>
  <si>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</si>
  <si>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</si>
  <si>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</si>
  <si>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</si>
  <si>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</si>
  <si>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</si>
  <si>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</si>
  <si>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</si>
  <si>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</si>
  <si>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</si>
  <si>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</si>
  <si>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</si>
  <si>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</si>
  <si>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</si>
  <si>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</si>
  <si>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</si>
  <si>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</si>
  <si>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</si>
  <si>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</si>
  <si>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</si>
  <si>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</si>
  <si>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</si>
  <si>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</si>
  <si>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</si>
  <si>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</si>
  <si>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</si>
  <si>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</si>
  <si>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</si>
  <si>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</si>
  <si>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</si>
  <si>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</si>
  <si>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</si>
  <si>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</si>
  <si>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</si>
  <si>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</si>
  <si>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</si>
  <si>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</si>
  <si>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</si>
  <si>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</si>
  <si>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</si>
  <si>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</si>
  <si>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</si>
  <si>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</si>
  <si>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</si>
  <si>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</si>
  <si>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</si>
  <si>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</si>
  <si>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</si>
  <si>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</si>
  <si>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</si>
  <si>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</si>
  <si>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</si>
  <si>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</si>
  <si>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</si>
  <si>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</si>
  <si>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</si>
  <si>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</si>
  <si>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</si>
  <si>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</si>
  <si>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</si>
  <si>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</si>
  <si>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</si>
  <si>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</si>
  <si>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</si>
  <si>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</si>
  <si>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</si>
  <si>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</si>
  <si>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</si>
  <si>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</si>
  <si>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</si>
  <si>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</si>
  <si>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</si>
  <si>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</si>
  <si>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</si>
  <si>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</si>
  <si>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</si>
  <si>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</si>
  <si>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</si>
  <si>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</si>
  <si>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</si>
  <si>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</si>
  <si>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</si>
  <si>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</si>
  <si>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</si>
  <si>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</si>
  <si>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</si>
  <si>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</si>
  <si>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</si>
  <si>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</si>
  <si>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</si>
  <si>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</si>
  <si>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</si>
  <si>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</si>
  <si>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</si>
  <si>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</si>
  <si>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</si>
  <si>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</si>
  <si>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</si>
  <si>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</si>
  <si>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</si>
  <si>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</si>
  <si>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</si>
  <si>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</si>
  <si>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</si>
  <si>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</si>
  <si>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</si>
  <si>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</si>
  <si>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</si>
  <si>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</si>
  <si>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</si>
  <si>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</si>
  <si>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</si>
  <si>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</si>
  <si>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</si>
  <si>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</si>
  <si>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</si>
  <si>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</si>
  <si>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</si>
  <si>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</si>
  <si>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</si>
  <si>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</si>
  <si>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</si>
  <si>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</si>
  <si>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</si>
  <si>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</si>
  <si>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</si>
  <si>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</si>
  <si>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</si>
  <si>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</si>
  <si>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</si>
  <si>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</si>
  <si>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</si>
  <si>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</si>
  <si>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</si>
  <si>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</si>
  <si>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</si>
  <si>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</si>
  <si>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</si>
  <si>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</si>
  <si>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</si>
  <si>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</si>
  <si>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</si>
  <si>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</si>
  <si>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</si>
  <si>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</si>
  <si>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</si>
  <si>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</si>
  <si>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</si>
  <si>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</si>
  <si>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</si>
  <si>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</si>
  <si>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</si>
  <si>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</si>
  <si>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</si>
  <si>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</si>
  <si>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</si>
  <si>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</si>
  <si>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</si>
  <si>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</si>
  <si>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</si>
  <si>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</si>
  <si>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</si>
  <si>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</si>
  <si>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</si>
  <si>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</si>
  <si>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</si>
  <si>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</si>
  <si>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</si>
  <si>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</si>
  <si>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</si>
  <si>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</si>
  <si>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</si>
  <si>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</si>
  <si>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</si>
  <si>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</si>
  <si>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</si>
  <si>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</si>
  <si>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</si>
  <si>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</si>
  <si>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</si>
  <si>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</si>
  <si>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</si>
  <si>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</si>
  <si>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</si>
  <si>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</si>
  <si>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</si>
  <si>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</si>
  <si>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</si>
  <si>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</si>
  <si>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</si>
  <si>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</si>
  <si>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</si>
  <si>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</si>
  <si>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</si>
  <si>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</si>
  <si>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</si>
  <si>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</si>
  <si>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</si>
  <si>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</si>
  <si>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</si>
  <si>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</si>
  <si>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</si>
  <si>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</si>
  <si>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</si>
  <si>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</si>
  <si>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</si>
  <si>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</si>
  <si>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</si>
  <si>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</si>
  <si>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</si>
  <si>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</si>
  <si>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</si>
  <si>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</si>
  <si>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</si>
  <si>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</si>
  <si>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</si>
  <si>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</si>
  <si>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</si>
  <si>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</si>
  <si>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</si>
  <si>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</si>
  <si>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</si>
  <si>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</si>
  <si>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</si>
  <si>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</si>
  <si>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</si>
  <si>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</si>
  <si>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</si>
  <si>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</si>
  <si>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</si>
  <si>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</si>
  <si>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</si>
  <si>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</si>
  <si>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</si>
  <si>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</si>
  <si>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</si>
  <si>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</si>
  <si>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</si>
  <si>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</si>
  <si>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</si>
  <si>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</si>
  <si>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</si>
  <si>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</si>
  <si>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</si>
  <si>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</si>
  <si>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</si>
  <si>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</si>
  <si>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</si>
  <si>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</si>
  <si>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</si>
  <si>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</si>
  <si>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</si>
  <si>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</si>
  <si>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</si>
  <si>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</si>
  <si>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</si>
  <si>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</si>
  <si>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</si>
  <si>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</si>
  <si>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</si>
  <si>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</si>
  <si>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</si>
  <si>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</si>
  <si>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</si>
  <si>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</si>
  <si>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</si>
  <si>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</si>
  <si>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</si>
  <si>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</si>
  <si>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</si>
  <si>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</si>
  <si>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</si>
  <si>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</si>
  <si>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</si>
  <si>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</si>
  <si>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</si>
  <si>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</si>
  <si>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</si>
  <si>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</si>
  <si>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</si>
  <si>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</si>
  <si>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</si>
  <si>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</si>
  <si>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</si>
  <si>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</si>
  <si>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</si>
  <si>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</si>
  <si>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</si>
  <si>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</si>
  <si>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</si>
  <si>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</si>
  <si>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</si>
  <si>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</si>
  <si>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</si>
  <si>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</si>
  <si>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</si>
  <si>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</si>
  <si>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</si>
  <si>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</si>
  <si>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</si>
  <si>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</si>
  <si>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</si>
  <si>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</si>
  <si>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</si>
  <si>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</si>
  <si>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</si>
  <si>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</si>
  <si>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</si>
  <si>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</si>
  <si>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</si>
  <si>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</si>
  <si>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</si>
  <si>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</si>
  <si>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</si>
  <si>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</si>
  <si>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</si>
  <si>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</si>
  <si>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</si>
  <si>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</si>
  <si>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</si>
  <si>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</si>
  <si>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</si>
  <si>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</si>
  <si>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</si>
  <si>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</si>
  <si>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</si>
  <si>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</si>
  <si>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</si>
  <si>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</si>
  <si>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</si>
  <si>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</si>
  <si>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</si>
  <si>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</si>
  <si>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</si>
  <si>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</si>
  <si>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</si>
  <si>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</si>
  <si>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</si>
  <si>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</si>
  <si>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</si>
  <si>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</si>
  <si>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</si>
  <si>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</si>
  <si>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</si>
  <si>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</si>
  <si>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</si>
  <si>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</si>
  <si>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</si>
  <si>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</si>
  <si>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</si>
  <si>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</si>
  <si>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</si>
  <si>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</si>
  <si>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</si>
  <si>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</si>
  <si>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</si>
  <si>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</si>
  <si>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</si>
  <si>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</si>
  <si>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</si>
  <si>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</si>
  <si>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</si>
  <si>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</si>
  <si>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</si>
  <si>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</si>
  <si>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</si>
  <si>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</si>
  <si>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</si>
  <si>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</si>
  <si>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</si>
  <si>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</si>
  <si>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</si>
  <si>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</si>
  <si>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</si>
  <si>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</si>
  <si>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</si>
  <si>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</si>
  <si>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</si>
  <si>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</si>
  <si>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</si>
  <si>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</si>
  <si>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</si>
  <si>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</si>
  <si>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</si>
  <si>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</si>
  <si>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</si>
  <si>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</si>
  <si>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</si>
  <si>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</si>
  <si>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</si>
  <si>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</si>
  <si>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</si>
  <si>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</si>
  <si>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</si>
  <si>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</si>
  <si>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</si>
  <si>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</si>
  <si>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</si>
  <si>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</si>
  <si>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</si>
  <si>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</si>
  <si>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</si>
  <si>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</si>
  <si>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</si>
  <si>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</si>
  <si>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</si>
  <si>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</si>
  <si>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</si>
  <si>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</si>
  <si>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</si>
  <si>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</si>
  <si>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</si>
  <si>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</si>
  <si>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</si>
  <si>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</si>
  <si>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</si>
  <si>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</si>
  <si>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</si>
  <si>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</si>
  <si>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</si>
  <si>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</si>
  <si>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</si>
  <si>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</si>
  <si>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</si>
  <si>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</si>
  <si>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</si>
  <si>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</si>
  <si>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</si>
  <si>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</si>
  <si>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</si>
  <si>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</si>
  <si>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</si>
  <si>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</si>
  <si>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</si>
  <si>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</si>
  <si>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</si>
  <si>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</si>
  <si>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</si>
  <si>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</si>
  <si>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</si>
  <si>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</si>
  <si>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</si>
  <si>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</si>
  <si>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</si>
  <si>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</si>
  <si>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</si>
  <si>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</si>
  <si>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</si>
  <si>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</si>
  <si>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</si>
  <si>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</si>
  <si>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</si>
  <si>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</si>
  <si>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</si>
  <si>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</si>
  <si>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</si>
  <si>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</si>
  <si>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</si>
  <si>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</si>
  <si>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</si>
  <si>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</si>
  <si>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</si>
  <si>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</si>
  <si>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</si>
  <si>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</si>
  <si>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</si>
  <si>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</si>
  <si>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</si>
  <si>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</si>
  <si>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</si>
  <si>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</si>
  <si>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</si>
  <si>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</si>
  <si>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</si>
  <si>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</si>
  <si>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</si>
  <si>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</si>
  <si>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</si>
  <si>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</si>
  <si>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</si>
  <si>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</si>
  <si>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</si>
  <si>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</si>
  <si>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</si>
  <si>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</si>
  <si>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</si>
  <si>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</si>
  <si>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</si>
  <si>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</si>
  <si>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</si>
  <si>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</si>
  <si>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</si>
  <si>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</si>
  <si>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</si>
  <si>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</si>
  <si>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</si>
  <si>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</si>
  <si>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</si>
  <si>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</si>
  <si>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</si>
  <si>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</si>
  <si>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</si>
  <si>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</si>
  <si>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</si>
  <si>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</si>
  <si>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</si>
  <si>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</si>
  <si>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</si>
  <si>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</si>
  <si>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</si>
  <si>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</si>
  <si>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</si>
  <si>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</si>
  <si>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</si>
  <si>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</si>
  <si>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</si>
  <si>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</si>
  <si>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</si>
  <si>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</si>
  <si>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</si>
  <si>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</si>
  <si>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</si>
  <si>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</si>
  <si>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</si>
  <si>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</si>
  <si>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</si>
  <si>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</si>
  <si>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</si>
  <si>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</si>
  <si>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</si>
  <si>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</si>
  <si>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</si>
  <si>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</si>
  <si>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</si>
  <si>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</si>
  <si>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</si>
  <si>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</si>
  <si>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</si>
  <si>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</si>
  <si>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</si>
  <si>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</si>
  <si>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</si>
  <si>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</si>
  <si>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</si>
  <si>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</si>
  <si>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</si>
  <si>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</si>
  <si>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</si>
  <si>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</si>
  <si>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</si>
  <si>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</si>
  <si>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</si>
  <si>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</si>
  <si>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</si>
  <si>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</si>
  <si>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</si>
  <si>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</si>
  <si>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</si>
  <si>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</si>
  <si>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</si>
  <si>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</si>
  <si>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</si>
  <si>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</si>
  <si>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</si>
  <si>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</si>
  <si>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</si>
  <si>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</si>
  <si>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</si>
  <si>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</si>
  <si>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</si>
  <si>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</si>
  <si>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</si>
  <si>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</si>
  <si>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</si>
  <si>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</si>
  <si>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</si>
  <si>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</si>
  <si>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</si>
  <si>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</si>
  <si>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</si>
  <si>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</si>
  <si>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</si>
  <si>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</si>
  <si>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</si>
  <si>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</si>
  <si>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</si>
  <si>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</si>
  <si>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</si>
  <si>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</si>
  <si>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</si>
  <si>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</si>
  <si>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</si>
  <si>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</si>
  <si>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</si>
  <si>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</si>
  <si>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</si>
  <si>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</si>
  <si>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</si>
  <si>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</si>
  <si>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</si>
  <si>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</si>
  <si>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</si>
  <si>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</si>
  <si>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</si>
  <si>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</si>
  <si>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</si>
  <si>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</si>
  <si>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</si>
  <si>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</si>
  <si>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</si>
  <si>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</si>
  <si>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</si>
  <si>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</si>
  <si>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</si>
  <si>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</si>
  <si>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</si>
  <si>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</si>
  <si>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</si>
  <si>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</si>
  <si>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</si>
  <si>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</si>
  <si>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</si>
  <si>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</si>
  <si>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</si>
  <si>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</si>
  <si>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</si>
  <si>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</si>
  <si>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</si>
  <si>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</si>
  <si>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</si>
  <si>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</si>
  <si>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</si>
  <si>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</si>
  <si>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</si>
  <si>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</si>
  <si>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</si>
  <si>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</si>
  <si>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</si>
  <si>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</si>
  <si>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</si>
  <si>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</si>
  <si>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</si>
  <si>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</si>
  <si>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</si>
  <si>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</si>
  <si>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</si>
  <si>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</si>
  <si>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</si>
  <si>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</si>
  <si>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</si>
  <si>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</si>
  <si>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</si>
  <si>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</si>
  <si>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</si>
  <si>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</si>
  <si>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</si>
  <si>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</si>
  <si>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</si>
  <si>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</si>
  <si>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</si>
  <si>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</si>
  <si>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</si>
  <si>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</si>
  <si>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</si>
  <si>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</si>
  <si>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</si>
  <si>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</si>
  <si>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</si>
  <si>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</si>
  <si>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</si>
  <si>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</si>
  <si>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</si>
  <si>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</si>
  <si>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</si>
  <si>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</si>
  <si>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</si>
  <si>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</si>
  <si>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</si>
  <si>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</si>
  <si>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</si>
  <si>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</si>
  <si>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</si>
  <si>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</si>
  <si>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</si>
  <si>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</si>
  <si>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</si>
  <si>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</si>
  <si>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</si>
  <si>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</si>
  <si>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</si>
  <si>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</si>
  <si>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</si>
  <si>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</si>
  <si>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</si>
  <si>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</si>
  <si>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</si>
  <si>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</si>
  <si>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</si>
  <si>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</si>
  <si>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</si>
  <si>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</si>
  <si>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</si>
  <si>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</si>
  <si>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</si>
  <si>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</si>
  <si>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</si>
  <si>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</si>
  <si>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</si>
  <si>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</si>
  <si>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</si>
  <si>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</si>
  <si>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</si>
  <si>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</si>
  <si>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</si>
  <si>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</si>
  <si>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</si>
  <si>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</si>
  <si>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</si>
  <si>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</si>
  <si>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</si>
  <si>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</si>
  <si>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</si>
  <si>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</si>
  <si>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</si>
  <si>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</si>
  <si>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</si>
  <si>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</si>
  <si>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</si>
  <si>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</si>
  <si>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</si>
  <si>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</si>
  <si>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</si>
  <si>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</si>
  <si>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</si>
  <si>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</si>
  <si>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</si>
  <si>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</si>
  <si>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</si>
  <si>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</si>
  <si>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</si>
  <si>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</si>
  <si>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</si>
  <si>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</si>
  <si>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</si>
  <si>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</si>
  <si>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</si>
  <si>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</si>
  <si>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</si>
  <si>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</si>
  <si>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</si>
  <si>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</si>
  <si>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</si>
  <si>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</si>
  <si>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</si>
  <si>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</si>
  <si>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</si>
  <si>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</si>
  <si>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</si>
  <si>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</si>
  <si>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</si>
  <si>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</si>
  <si>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</si>
  <si>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</si>
  <si>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</si>
  <si>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</si>
  <si>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</si>
  <si>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</si>
  <si>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</si>
  <si>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</si>
  <si>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</si>
  <si>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</si>
  <si>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</si>
  <si>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</si>
  <si>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</si>
  <si>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</si>
  <si>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</si>
  <si>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</si>
  <si>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</si>
  <si>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</si>
  <si>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</si>
  <si>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</si>
  <si>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</si>
  <si>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</si>
  <si>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</si>
  <si>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</si>
  <si>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</si>
  <si>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</si>
  <si>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</si>
  <si>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</si>
  <si>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</si>
  <si>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</si>
  <si>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</si>
  <si>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</si>
  <si>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</si>
  <si>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</si>
  <si>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</si>
  <si>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</si>
  <si>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</si>
  <si>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</si>
  <si>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</si>
  <si>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</si>
  <si>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</si>
  <si>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</si>
  <si>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</si>
  <si>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</si>
  <si>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</si>
  <si>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</si>
  <si>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</si>
  <si>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</si>
  <si>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</si>
  <si>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</si>
  <si>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</si>
  <si>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</si>
  <si>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</si>
  <si>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</si>
  <si>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</si>
  <si>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</si>
  <si>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</si>
  <si>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</si>
  <si>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</si>
  <si>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</si>
  <si>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</si>
  <si>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</si>
  <si>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</si>
  <si>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</si>
  <si>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</si>
  <si>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</si>
  <si>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</si>
  <si>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</si>
  <si>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</si>
  <si>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</si>
  <si>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</si>
  <si>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</si>
  <si>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</si>
  <si>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</si>
  <si>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</si>
  <si>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</si>
  <si>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</si>
  <si>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</si>
  <si>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</si>
  <si>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</si>
  <si>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</si>
  <si>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</si>
  <si>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</si>
  <si>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</si>
  <si>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</si>
  <si>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</si>
  <si>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</si>
  <si>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</si>
  <si>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</si>
  <si>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</si>
  <si>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</si>
  <si>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</si>
  <si>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</si>
  <si>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</si>
  <si>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</si>
  <si>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</si>
  <si>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</si>
  <si>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</si>
  <si>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</si>
  <si>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</si>
  <si>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</si>
  <si>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</si>
  <si>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</si>
  <si>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</si>
  <si>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</si>
  <si>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</si>
  <si>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</si>
  <si>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</si>
  <si>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</si>
  <si>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</si>
  <si>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</si>
  <si>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</si>
  <si>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</si>
  <si>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</si>
  <si>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</si>
  <si>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</si>
  <si>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</si>
  <si>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</si>
  <si>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</si>
  <si>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</si>
  <si>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</si>
  <si>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</si>
  <si>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</si>
  <si>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</si>
  <si>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</si>
  <si>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</si>
  <si>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</si>
  <si>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</si>
  <si>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</si>
  <si>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</si>
  <si>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</si>
  <si>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</si>
  <si>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</si>
  <si>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</si>
  <si>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</si>
  <si>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</si>
  <si>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</si>
  <si>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</si>
  <si>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</si>
  <si>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</si>
  <si>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</si>
  <si>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</si>
  <si>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</si>
  <si>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</si>
  <si>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</si>
  <si>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</si>
  <si>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</si>
  <si>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</si>
  <si>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</si>
  <si>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</si>
  <si>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</si>
  <si>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</si>
  <si>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</si>
  <si>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</si>
  <si>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</si>
  <si>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</si>
  <si>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</si>
  <si>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</si>
  <si>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</si>
  <si>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</si>
  <si>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</si>
  <si>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</si>
  <si>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</si>
  <si>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</si>
  <si>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</si>
  <si>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</si>
  <si>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</si>
  <si>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</si>
  <si>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</si>
  <si>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</si>
  <si>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</si>
  <si>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</si>
  <si>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</si>
  <si>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</si>
  <si>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</si>
  <si>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</si>
  <si>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</si>
  <si>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</si>
  <si>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</si>
  <si>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</si>
  <si>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</si>
  <si>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</si>
  <si>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</si>
  <si>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</si>
  <si>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</si>
  <si>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</si>
  <si>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</si>
  <si>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</si>
  <si>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</si>
  <si>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</si>
  <si>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</si>
  <si>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</si>
  <si>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</si>
  <si>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</si>
  <si>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</si>
  <si>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</si>
  <si>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</si>
  <si>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</si>
  <si>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</si>
  <si>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</si>
  <si>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</si>
  <si>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</si>
  <si>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</si>
  <si>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</si>
  <si>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</si>
  <si>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</si>
  <si>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</si>
  <si>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</si>
  <si>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</si>
  <si>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</si>
  <si>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</si>
  <si>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</si>
  <si>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</si>
  <si>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</si>
  <si>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</si>
  <si>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</si>
  <si>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</si>
  <si>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</si>
  <si>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</si>
  <si>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</si>
  <si>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</si>
  <si>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</si>
  <si>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</si>
  <si>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</si>
  <si>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</si>
  <si>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</si>
  <si>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</si>
  <si>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</si>
  <si>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</si>
  <si>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</si>
  <si>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</si>
  <si>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</si>
  <si>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</si>
  <si>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</si>
  <si>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</si>
  <si>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</si>
  <si>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</si>
  <si>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</si>
  <si>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</si>
  <si>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</si>
  <si>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</si>
  <si>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</si>
  <si>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</si>
  <si>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</si>
  <si>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</si>
  <si>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</si>
  <si>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</si>
  <si>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</si>
  <si>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</si>
  <si>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</si>
  <si>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</si>
  <si>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</si>
  <si>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</si>
  <si>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</si>
  <si>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</si>
  <si>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</si>
  <si>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</si>
  <si>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</si>
  <si>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</si>
  <si>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</si>
  <si>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</si>
  <si>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</si>
  <si>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</si>
  <si>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</si>
  <si>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</si>
  <si>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</si>
  <si>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</si>
  <si>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</si>
  <si>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</si>
  <si>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</si>
  <si>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</si>
  <si>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</si>
  <si>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</si>
  <si>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</si>
  <si>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</si>
  <si>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</si>
  <si>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</si>
  <si>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</si>
  <si>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</si>
  <si>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</si>
  <si>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</si>
  <si>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</si>
  <si>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</si>
  <si>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</si>
  <si>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</si>
  <si>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</si>
  <si>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</si>
  <si>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</si>
  <si>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</si>
  <si>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</si>
  <si>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</si>
  <si>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</si>
  <si>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</si>
  <si>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</si>
  <si>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</si>
  <si>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</si>
  <si>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</si>
  <si>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</si>
  <si>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</si>
  <si>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</si>
  <si>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</si>
  <si>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</si>
  <si>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</si>
  <si>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</si>
  <si>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</si>
  <si>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</si>
  <si>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</si>
  <si>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</si>
  <si>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</si>
  <si>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</si>
  <si>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</si>
  <si>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</si>
  <si>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</si>
  <si>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</si>
  <si>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</si>
  <si>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</si>
  <si>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</si>
  <si>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</si>
  <si>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</si>
  <si>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</si>
  <si>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</si>
  <si>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</si>
  <si>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</si>
  <si>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</si>
  <si>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</si>
  <si>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</si>
  <si>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</si>
  <si>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</si>
  <si>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</si>
  <si>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</si>
  <si>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</si>
  <si>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</si>
  <si>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</si>
  <si>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</si>
  <si>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</si>
  <si>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</si>
  <si>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</si>
  <si>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</si>
  <si>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</si>
  <si>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</si>
  <si>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</si>
  <si>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</si>
  <si>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</si>
  <si>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</si>
  <si>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</si>
  <si>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</si>
  <si>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</si>
  <si>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</si>
  <si>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</si>
  <si>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</si>
  <si>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</si>
  <si>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</si>
  <si>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</si>
  <si>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</si>
  <si>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</si>
  <si>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</si>
  <si>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</si>
  <si>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</si>
  <si>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</si>
  <si>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</si>
  <si>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</si>
  <si>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</si>
  <si>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</si>
  <si>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</si>
  <si>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</si>
  <si>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</si>
  <si>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</si>
  <si>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</si>
  <si>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</si>
  <si>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</si>
  <si>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</si>
  <si>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</si>
  <si>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</si>
  <si>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</si>
  <si>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</si>
  <si>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</si>
  <si>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</si>
  <si>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</si>
  <si>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</si>
  <si>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</si>
  <si>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</si>
  <si>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</si>
  <si>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</si>
  <si>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</si>
  <si>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</si>
  <si>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</si>
  <si>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</si>
  <si>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</si>
  <si>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</si>
  <si>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</si>
  <si>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</si>
  <si>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</si>
  <si>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</si>
  <si>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</si>
  <si>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</si>
  <si>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</si>
  <si>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</si>
  <si>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</si>
  <si>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</si>
  <si>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</si>
  <si>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</si>
  <si>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</si>
  <si>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</si>
  <si>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</si>
  <si>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</si>
  <si>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</si>
  <si>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</si>
  <si>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</si>
  <si>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</si>
  <si>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</si>
  <si>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</si>
  <si>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</si>
  <si>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</si>
  <si>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</si>
  <si>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</si>
  <si>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</si>
  <si>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</si>
  <si>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</si>
  <si>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</si>
  <si>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</si>
  <si>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</si>
  <si>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</si>
  <si>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</si>
  <si>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</si>
  <si>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</si>
  <si>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</si>
  <si>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</si>
  <si>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</si>
  <si>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</si>
  <si>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</si>
  <si>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</si>
  <si>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</si>
  <si>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</si>
  <si>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</si>
  <si>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</si>
  <si>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</si>
  <si>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</si>
  <si>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</si>
  <si>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</si>
  <si>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</si>
  <si>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</si>
  <si>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</si>
  <si>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</si>
  <si>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</si>
  <si>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</si>
  <si>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</si>
  <si>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</si>
  <si>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</si>
  <si>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</si>
  <si>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</si>
  <si>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</si>
  <si>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</si>
  <si>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</si>
  <si>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</si>
  <si>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</si>
  <si>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</si>
  <si>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</si>
  <si>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</si>
  <si>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</si>
  <si>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</si>
  <si>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</si>
  <si>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</si>
  <si>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</si>
  <si>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</si>
  <si>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</si>
  <si>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</si>
  <si>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</si>
  <si>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</si>
  <si>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</si>
  <si>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</si>
  <si>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</si>
  <si>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</si>
  <si>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</si>
  <si>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</si>
  <si>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</si>
  <si>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</si>
  <si>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</si>
  <si>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</si>
  <si>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</si>
  <si>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</si>
  <si>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</si>
  <si>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</si>
  <si>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</si>
  <si>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</si>
  <si>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</si>
  <si>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</si>
  <si>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</si>
  <si>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</si>
  <si>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</si>
  <si>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</si>
  <si>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</si>
  <si>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</si>
  <si>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</si>
  <si>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</si>
  <si>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</si>
  <si>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</si>
  <si>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</si>
  <si>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</si>
  <si>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</si>
  <si>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</si>
  <si>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</si>
  <si>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</si>
  <si>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</si>
  <si>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</si>
  <si>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</si>
  <si>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</si>
  <si>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</si>
  <si>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</si>
  <si>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</si>
  <si>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</si>
  <si>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</si>
  <si>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</si>
  <si>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</si>
  <si>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</si>
  <si>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</si>
  <si>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</si>
  <si>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</si>
  <si>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</si>
  <si>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</si>
  <si>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</si>
  <si>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</si>
  <si>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</si>
  <si>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</si>
  <si>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</si>
  <si>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</si>
  <si>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</si>
  <si>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</si>
  <si>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</si>
  <si>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</si>
  <si>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</si>
  <si>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</si>
  <si>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</si>
  <si>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</si>
  <si>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</si>
  <si>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</si>
  <si>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</si>
  <si>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</si>
  <si>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</si>
  <si>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</si>
  <si>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</si>
  <si>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</si>
  <si>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</si>
  <si>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</si>
  <si>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</si>
  <si>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</si>
  <si>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</si>
  <si>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</si>
  <si>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</si>
  <si>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</si>
  <si>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</si>
  <si>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</si>
  <si>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</si>
  <si>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</si>
  <si>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</si>
  <si>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</si>
  <si>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</si>
  <si>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</si>
  <si>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</si>
  <si>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</si>
  <si>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</si>
  <si>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</si>
  <si>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</si>
  <si>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</si>
  <si>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</si>
  <si>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</si>
  <si>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</si>
  <si>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</si>
  <si>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</si>
  <si>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</si>
  <si>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</si>
  <si>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</si>
  <si>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</si>
  <si>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</si>
  <si>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</si>
  <si>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</si>
  <si>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</si>
  <si>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</si>
  <si>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</si>
  <si>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</si>
  <si>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</si>
  <si>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</si>
  <si>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</si>
  <si>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</si>
  <si>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</si>
  <si>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</si>
  <si>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</si>
  <si>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</si>
  <si>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</si>
  <si>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</si>
  <si>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</si>
  <si>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</si>
  <si>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</si>
  <si>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</si>
  <si>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</si>
  <si>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</si>
  <si>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</si>
  <si>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</si>
  <si>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</si>
  <si>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</si>
  <si>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</si>
  <si>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</si>
  <si>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</si>
  <si>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</si>
  <si>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</si>
  <si>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</si>
  <si>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</si>
  <si>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</si>
  <si>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</si>
  <si>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</si>
  <si>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</si>
  <si>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</si>
  <si>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</si>
  <si>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</si>
  <si>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</si>
  <si>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</si>
  <si>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</si>
  <si>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</si>
  <si>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</si>
  <si>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</si>
  <si>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</si>
  <si>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</si>
  <si>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</si>
  <si>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</si>
  <si>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</si>
  <si>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</si>
  <si>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</si>
  <si>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</si>
  <si>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</si>
  <si>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</si>
  <si>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</si>
  <si>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</si>
  <si>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</si>
  <si>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</si>
  <si>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</si>
  <si>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</si>
  <si>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</si>
  <si>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</si>
  <si>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</si>
  <si>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</si>
  <si>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</si>
  <si>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</si>
  <si>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</si>
  <si>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</si>
  <si>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</si>
  <si>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</si>
  <si>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</si>
  <si>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</si>
  <si>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</si>
  <si>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</si>
  <si>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</si>
  <si>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</si>
  <si>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</si>
  <si>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</si>
  <si>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</si>
  <si>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</si>
  <si>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</si>
  <si>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</si>
  <si>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</si>
  <si>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</si>
  <si>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</si>
  <si>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</si>
  <si>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</si>
  <si>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</si>
  <si>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</si>
  <si>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</si>
  <si>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</si>
  <si>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</si>
  <si>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</si>
  <si>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</si>
  <si>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</si>
  <si>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</si>
  <si>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</si>
  <si>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</si>
  <si>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</si>
  <si>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</si>
  <si>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</si>
  <si>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</si>
  <si>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</si>
  <si>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</si>
  <si>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</si>
  <si>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</si>
  <si>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</si>
  <si>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</si>
  <si>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</si>
  <si>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</si>
  <si>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</si>
  <si>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</si>
  <si>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</si>
  <si>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</si>
  <si>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</si>
  <si>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</si>
  <si>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</si>
  <si>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</si>
  <si>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</si>
  <si>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</si>
  <si>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</si>
  <si>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</si>
  <si>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</si>
  <si>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</si>
  <si>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</si>
  <si>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</si>
  <si>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</si>
  <si>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</si>
  <si>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</si>
  <si>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</si>
  <si>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</si>
  <si>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</si>
  <si>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</si>
  <si>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</si>
  <si>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</si>
  <si>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</si>
  <si>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</si>
  <si>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</si>
  <si>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</si>
  <si>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</si>
  <si>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</si>
  <si>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</si>
  <si>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</si>
  <si>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</si>
  <si>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</si>
  <si>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</si>
  <si>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</si>
  <si>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</si>
  <si>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</si>
  <si>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</si>
  <si>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</si>
  <si>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</si>
  <si>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</si>
  <si>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</si>
  <si>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</si>
  <si>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</si>
  <si>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</si>
  <si>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</si>
  <si>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</si>
  <si>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</si>
  <si>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</si>
  <si>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</si>
  <si>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</si>
  <si>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</si>
  <si>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</si>
  <si>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</si>
  <si>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</si>
  <si>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</si>
  <si>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</si>
  <si>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</si>
  <si>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</si>
  <si>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</si>
  <si>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</si>
  <si>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</si>
  <si>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</si>
  <si>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</si>
  <si>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</si>
  <si>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</si>
  <si>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</si>
  <si>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</si>
  <si>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</si>
  <si>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</si>
  <si>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</si>
  <si>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</si>
  <si>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</si>
  <si>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</si>
  <si>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</si>
  <si>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</si>
  <si>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</si>
  <si>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</si>
  <si>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</si>
  <si>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</si>
  <si>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</si>
  <si>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</si>
  <si>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</si>
  <si>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</si>
  <si>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</si>
  <si>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</si>
  <si>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</si>
  <si>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</si>
  <si>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</si>
  <si>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</si>
  <si>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</si>
  <si>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</si>
  <si>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</si>
  <si>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</si>
  <si>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</si>
  <si>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</si>
  <si>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</si>
  <si>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</si>
  <si>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</si>
  <si>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</si>
  <si>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</si>
  <si>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</si>
  <si>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</si>
  <si>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</si>
  <si>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</si>
  <si>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</si>
  <si>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</si>
  <si>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</si>
  <si>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</si>
  <si>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</si>
  <si>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</si>
  <si>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</si>
  <si>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</si>
  <si>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</si>
  <si>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</si>
  <si>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</si>
  <si>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</si>
  <si>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</si>
  <si>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</si>
  <si>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</si>
  <si>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</si>
  <si>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</si>
  <si>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</si>
  <si>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</si>
  <si>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</si>
  <si>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</si>
  <si>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</si>
  <si>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</si>
  <si>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</si>
  <si>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</si>
  <si>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</si>
  <si>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</si>
  <si>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</si>
  <si>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</si>
  <si>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</si>
  <si>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</si>
  <si>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</si>
  <si>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</si>
  <si>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</si>
  <si>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</si>
  <si>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</si>
  <si>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</si>
  <si>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</si>
  <si>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</si>
  <si>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</si>
  <si>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</si>
  <si>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</si>
  <si>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</si>
  <si>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</si>
  <si>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</si>
  <si>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</si>
  <si>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</si>
  <si>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</si>
  <si>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</si>
  <si>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</si>
  <si>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</si>
  <si>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</si>
  <si>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</si>
  <si>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</si>
  <si>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</si>
  <si>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</si>
  <si>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</si>
  <si>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</si>
  <si>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</si>
  <si>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</si>
  <si>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</si>
  <si>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</si>
  <si>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</si>
  <si>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</si>
  <si>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</si>
  <si>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</si>
  <si>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</si>
  <si>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</si>
  <si>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</si>
  <si>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</si>
  <si>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</si>
  <si>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</si>
  <si>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</si>
  <si>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</si>
  <si>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</si>
  <si>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</si>
  <si>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</si>
  <si>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</si>
  <si>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</si>
  <si>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</si>
  <si>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</si>
  <si>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</si>
  <si>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</si>
  <si>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</si>
  <si>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</si>
  <si>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</si>
  <si>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</si>
  <si>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</si>
  <si>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</si>
  <si>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</si>
  <si>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</si>
  <si>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</si>
  <si>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</si>
  <si>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</si>
  <si>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</si>
  <si>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</si>
  <si>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</si>
  <si>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</si>
  <si>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</si>
  <si>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</si>
  <si>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</si>
  <si>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</si>
  <si>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</si>
  <si>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</si>
  <si>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</si>
  <si>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</si>
  <si>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</si>
  <si>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</si>
  <si>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</si>
  <si>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</si>
  <si>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</si>
  <si>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</si>
  <si>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</si>
  <si>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</si>
  <si>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</si>
  <si>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</si>
  <si>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</si>
  <si>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</si>
  <si>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</si>
  <si>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</si>
  <si>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</si>
  <si>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</si>
  <si>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</si>
  <si>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</si>
  <si>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</si>
  <si>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</si>
  <si>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</si>
  <si>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</si>
  <si>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</si>
  <si>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</si>
  <si>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</si>
  <si>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</si>
  <si>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</si>
  <si>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</si>
  <si>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</si>
  <si>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</si>
  <si>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</si>
  <si>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</si>
  <si>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</si>
  <si>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</si>
  <si>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</si>
  <si>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</si>
  <si>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</si>
  <si>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</si>
  <si>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</si>
  <si>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</si>
  <si>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</si>
  <si>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</si>
  <si>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</si>
  <si>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</si>
  <si>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</si>
  <si>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</si>
  <si>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</si>
  <si>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</si>
  <si>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</si>
  <si>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</si>
  <si>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</si>
  <si>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</si>
  <si>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</si>
  <si>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</si>
  <si>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</si>
  <si>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</si>
  <si>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</si>
  <si>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</si>
  <si>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</si>
  <si>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</si>
  <si>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</si>
  <si>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</si>
  <si>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</si>
  <si>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</si>
  <si>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</si>
  <si>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</si>
  <si>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</si>
  <si>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</si>
  <si>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</si>
  <si>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</si>
  <si>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</si>
  <si>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</si>
  <si>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</si>
  <si>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</si>
  <si>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</si>
  <si>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</si>
  <si>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</si>
  <si>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</si>
  <si>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</si>
  <si>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</si>
  <si>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</si>
  <si>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</si>
  <si>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</si>
  <si>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</si>
  <si>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</si>
  <si>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</si>
  <si>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</si>
  <si>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</si>
  <si>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</si>
  <si>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</si>
  <si>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</si>
  <si>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</si>
  <si>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</si>
  <si>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</si>
  <si>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</si>
  <si>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</si>
  <si>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</si>
  <si>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</si>
  <si>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</si>
  <si>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</si>
  <si>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</si>
  <si>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</si>
  <si>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</si>
  <si>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</si>
  <si>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</si>
  <si>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</si>
  <si>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</si>
  <si>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</si>
  <si>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</si>
  <si>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</si>
  <si>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</si>
  <si>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</si>
  <si>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</si>
  <si>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</si>
  <si>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</si>
  <si>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</si>
  <si>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</si>
  <si>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</si>
  <si>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</si>
  <si>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</si>
  <si>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</si>
  <si>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</si>
  <si>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</si>
  <si>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</si>
  <si>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</si>
  <si>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</si>
  <si>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</si>
  <si>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</si>
  <si>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</si>
  <si>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</si>
  <si>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</si>
  <si>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</si>
  <si>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</si>
  <si>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</si>
  <si>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</si>
  <si>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</si>
  <si>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</si>
  <si>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</si>
  <si>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</si>
  <si>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</si>
  <si>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</si>
  <si>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</si>
  <si>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</si>
  <si>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</si>
  <si>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</si>
  <si>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</si>
  <si>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</si>
  <si>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</si>
  <si>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</si>
  <si>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</si>
  <si>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</si>
  <si>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</si>
  <si>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</si>
  <si>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</si>
  <si>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</si>
  <si>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</si>
  <si>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</si>
  <si>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</si>
  <si>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</si>
  <si>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</si>
  <si>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</si>
  <si>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</si>
  <si>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</si>
  <si>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</si>
  <si>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</si>
  <si>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</si>
  <si>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</si>
  <si>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</si>
  <si>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</si>
  <si>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</si>
  <si>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</si>
  <si>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</si>
  <si>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</si>
  <si>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</si>
  <si>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</si>
  <si>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</si>
  <si>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</si>
  <si>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</si>
  <si>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</si>
  <si>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</si>
  <si>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</si>
  <si>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</si>
  <si>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</si>
  <si>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</si>
  <si>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</si>
  <si>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</si>
  <si>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</si>
  <si>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</si>
  <si>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</si>
  <si>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</si>
  <si>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</si>
  <si>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</si>
  <si>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</si>
  <si>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</si>
  <si>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</si>
  <si>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</si>
  <si>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</si>
  <si>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</si>
  <si>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</si>
  <si>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</si>
  <si>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</si>
  <si>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</si>
  <si>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</si>
  <si>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</si>
  <si>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</si>
  <si>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</si>
  <si>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</si>
  <si>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</si>
  <si>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</si>
  <si>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</si>
  <si>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</si>
  <si>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</si>
  <si>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</si>
  <si>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</si>
  <si>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</si>
  <si>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</si>
  <si>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</si>
  <si>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</si>
  <si>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</si>
  <si>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</si>
  <si>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</si>
  <si>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</si>
  <si>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</si>
  <si>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</si>
  <si>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</si>
  <si>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</si>
  <si>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</si>
  <si>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</si>
  <si>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</si>
  <si>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</si>
  <si>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</si>
  <si>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</si>
  <si>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</si>
  <si>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</si>
  <si>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</si>
  <si>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</si>
  <si>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</si>
  <si>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</si>
  <si>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</si>
  <si>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</si>
  <si>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</si>
  <si>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</si>
  <si>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</si>
  <si>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</si>
  <si>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</si>
  <si>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</si>
  <si>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</si>
  <si>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</si>
  <si>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</si>
  <si>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</si>
  <si>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</si>
  <si>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</si>
  <si>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</si>
  <si>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</si>
  <si>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</si>
  <si>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</si>
  <si>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</si>
  <si>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</si>
  <si>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</si>
  <si>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</si>
  <si>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</si>
  <si>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</si>
  <si>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</si>
  <si>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</si>
  <si>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</si>
  <si>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</si>
  <si>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</si>
  <si>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</si>
  <si>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</si>
  <si>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</si>
  <si>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</si>
  <si>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</si>
  <si>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</si>
  <si>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</si>
  <si>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</si>
  <si>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</si>
  <si>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</si>
  <si>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</si>
  <si>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</si>
  <si>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</si>
  <si>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</si>
  <si>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</si>
  <si>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</si>
  <si>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</si>
  <si>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</si>
  <si>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</si>
  <si>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</si>
  <si>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</si>
  <si>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</si>
  <si>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</si>
  <si>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</si>
  <si>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</si>
  <si>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</si>
  <si>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</si>
  <si>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</si>
  <si>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</si>
  <si>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</si>
  <si>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</si>
  <si>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</si>
  <si>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</si>
  <si>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</si>
  <si>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</si>
  <si>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</si>
  <si>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</si>
  <si>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</si>
  <si>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</si>
  <si>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</si>
  <si>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</si>
  <si>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</si>
  <si>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</si>
  <si>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</si>
  <si>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</si>
  <si>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</si>
  <si>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</si>
  <si>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</si>
  <si>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</si>
  <si>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</si>
  <si>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</si>
  <si>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</si>
  <si>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</si>
  <si>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</si>
  <si>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</si>
  <si>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</si>
  <si>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</si>
  <si>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</si>
  <si>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</si>
  <si>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</si>
  <si>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</si>
  <si>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</si>
  <si>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</si>
  <si>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</si>
  <si>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</si>
  <si>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</si>
  <si>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</si>
  <si>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</si>
  <si>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</si>
  <si>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</si>
  <si>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</si>
  <si>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</si>
  <si>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</si>
  <si>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</si>
  <si>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</si>
  <si>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</si>
  <si>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</si>
  <si>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</si>
  <si>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</si>
  <si>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</si>
  <si>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</si>
  <si>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</si>
  <si>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</si>
  <si>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</si>
  <si>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</si>
  <si>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</si>
  <si>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</si>
  <si>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</si>
  <si>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</si>
  <si>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</si>
  <si>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</si>
  <si>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</si>
  <si>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</si>
  <si>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</si>
  <si>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</si>
  <si>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</si>
  <si>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</si>
  <si>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</si>
  <si>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</si>
  <si>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</si>
  <si>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</si>
  <si>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</si>
  <si>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</si>
  <si>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</si>
  <si>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</si>
  <si>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</si>
  <si>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</si>
  <si>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</si>
  <si>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</si>
  <si>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</si>
  <si>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</si>
  <si>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</si>
  <si>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</si>
  <si>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</si>
  <si>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</si>
  <si>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</si>
  <si>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</si>
  <si>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</si>
  <si>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</si>
  <si>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</si>
  <si>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</si>
  <si>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</si>
  <si>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</si>
  <si>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</si>
  <si>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</si>
  <si>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</si>
  <si>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</si>
  <si>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</si>
  <si>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</si>
  <si>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</si>
  <si>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</si>
  <si>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</si>
  <si>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</si>
  <si>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</si>
  <si>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</si>
  <si>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</si>
  <si>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</si>
  <si>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</si>
  <si>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</si>
  <si>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</si>
  <si>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</si>
  <si>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</si>
  <si>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</si>
  <si>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</si>
  <si>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</si>
  <si>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</si>
  <si>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</si>
  <si>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</si>
  <si>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</si>
  <si>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</si>
  <si>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</si>
  <si>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</si>
  <si>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</si>
  <si>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</si>
  <si>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</si>
  <si>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</si>
  <si>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</si>
  <si>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</si>
  <si>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</si>
  <si>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</si>
  <si>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</si>
  <si>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</si>
  <si>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</si>
  <si>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</si>
  <si>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</si>
  <si>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</si>
  <si>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</si>
  <si>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</si>
  <si>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</si>
  <si>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</si>
  <si>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</si>
  <si>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</si>
  <si>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</si>
  <si>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</si>
  <si>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</si>
  <si>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</si>
  <si>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</si>
  <si>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</si>
  <si>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</si>
  <si>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</si>
  <si>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</si>
  <si>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</si>
  <si>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</si>
  <si>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</si>
  <si>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</si>
  <si>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</si>
  <si>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</si>
  <si>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</si>
  <si>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</si>
  <si>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</si>
  <si>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</si>
  <si>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</si>
  <si>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</si>
  <si>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</si>
  <si>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</si>
  <si>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</si>
  <si>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</si>
  <si>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</si>
  <si>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</si>
  <si>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</si>
  <si>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</si>
  <si>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</si>
  <si>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</si>
  <si>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</si>
  <si>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</si>
  <si>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</si>
  <si>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</si>
  <si>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</si>
  <si>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</si>
  <si>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</si>
  <si>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</si>
  <si>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</si>
  <si>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</si>
  <si>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</si>
  <si>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</si>
  <si>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</si>
  <si>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</si>
  <si>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</si>
  <si>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</si>
  <si>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</si>
  <si>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</si>
  <si>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</si>
  <si>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</si>
  <si>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</si>
  <si>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</si>
  <si>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</si>
  <si>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</si>
  <si>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</si>
  <si>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</si>
  <si>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</si>
  <si>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</si>
  <si>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</si>
  <si>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</si>
  <si>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</si>
  <si>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</si>
  <si>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</si>
  <si>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</si>
  <si>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</si>
  <si>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</si>
  <si>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</si>
  <si>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</si>
  <si>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</si>
  <si>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</si>
  <si>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</si>
  <si>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</si>
  <si>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</si>
  <si>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</si>
  <si>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</si>
  <si>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</si>
  <si>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</si>
  <si>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</si>
  <si>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</si>
  <si>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</si>
  <si>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</si>
  <si>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</si>
  <si>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</si>
  <si>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</si>
  <si>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</si>
  <si>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</si>
  <si>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</si>
  <si>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</si>
  <si>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</si>
  <si>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</si>
  <si>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</si>
  <si>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</si>
  <si>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</si>
  <si>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</si>
  <si>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</si>
  <si>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</si>
  <si>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</si>
  <si>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</si>
  <si>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</si>
  <si>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</si>
  <si>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</si>
  <si>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</si>
  <si>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</si>
  <si>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</si>
  <si>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</si>
  <si>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</si>
  <si>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</si>
  <si>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</si>
  <si>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</si>
  <si>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</si>
  <si>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</si>
  <si>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</si>
  <si>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</si>
  <si>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</si>
  <si>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</si>
  <si>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</si>
  <si>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</si>
  <si>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</si>
  <si>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</si>
  <si>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</si>
  <si>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</si>
  <si>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</si>
  <si>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</si>
  <si>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</si>
  <si>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</si>
  <si>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</si>
  <si>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</si>
  <si>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</si>
  <si>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</si>
  <si>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</si>
  <si>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</si>
  <si>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</si>
  <si>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</si>
  <si>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</si>
  <si>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</si>
  <si>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</si>
  <si>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</si>
  <si>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</si>
  <si>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</si>
  <si>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</si>
  <si>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</si>
  <si>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</si>
  <si>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</si>
  <si>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</si>
  <si>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</si>
  <si>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</si>
  <si>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</si>
  <si>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</si>
  <si>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</si>
  <si>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</si>
  <si>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</si>
  <si>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</si>
  <si>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</si>
  <si>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</si>
  <si>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</si>
  <si>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</si>
  <si>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</si>
  <si>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</si>
  <si>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</si>
  <si>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</si>
  <si>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</si>
  <si>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</si>
  <si>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</si>
  <si>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</si>
  <si>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</si>
  <si>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</si>
  <si>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</si>
  <si>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</si>
  <si>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</si>
  <si>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</si>
  <si>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</si>
  <si>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</si>
  <si>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</si>
  <si>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</si>
  <si>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</si>
  <si>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</si>
  <si>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</si>
  <si>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</si>
  <si>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</si>
  <si>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</si>
  <si>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</si>
  <si>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</si>
  <si>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</si>
  <si>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</si>
  <si>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</si>
  <si>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</si>
  <si>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</si>
  <si>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</si>
  <si>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</si>
  <si>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</si>
  <si>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</si>
  <si>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</si>
  <si>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</si>
  <si>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</si>
  <si>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</si>
  <si>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</si>
  <si>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</si>
  <si>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</si>
  <si>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</si>
  <si>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</si>
  <si>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</si>
  <si>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</si>
  <si>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</si>
  <si>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</si>
  <si>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</si>
  <si>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</si>
  <si>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</si>
  <si>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</si>
  <si>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</si>
  <si>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</si>
  <si>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</si>
  <si>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</si>
  <si>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</si>
  <si>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</si>
  <si>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</si>
  <si>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</si>
  <si>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</si>
  <si>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</si>
  <si>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</si>
  <si>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</si>
  <si>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</si>
  <si>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</si>
  <si>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</si>
  <si>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</si>
  <si>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</si>
  <si>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</si>
  <si>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</si>
  <si>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</si>
  <si>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</si>
  <si>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</si>
  <si>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</si>
  <si>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</si>
  <si>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</si>
  <si>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</si>
  <si>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</si>
  <si>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</si>
  <si>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</si>
  <si>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</si>
  <si>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</si>
  <si>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</si>
  <si>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</si>
  <si>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</si>
  <si>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</si>
  <si>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</si>
  <si>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</si>
  <si>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</si>
  <si>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</si>
  <si>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</si>
  <si>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</si>
  <si>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</si>
  <si>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</si>
  <si>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</si>
  <si>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</si>
  <si>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</si>
  <si>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</si>
  <si>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</si>
  <si>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</si>
  <si>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</si>
  <si>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</si>
  <si>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</si>
  <si>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</si>
  <si>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</si>
  <si>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</si>
  <si>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</si>
  <si>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</si>
  <si>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</si>
  <si>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</si>
  <si>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</si>
  <si>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</si>
  <si>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</si>
  <si>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</si>
  <si>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</si>
  <si>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</si>
  <si>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</si>
  <si>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</si>
  <si>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</si>
  <si>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</si>
  <si>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</si>
  <si>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</si>
  <si>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</si>
  <si>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</si>
  <si>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</si>
  <si>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</si>
  <si>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</si>
  <si>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</si>
  <si>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</si>
  <si>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</si>
  <si>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</si>
  <si>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</si>
  <si>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</si>
  <si>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</si>
  <si>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</si>
  <si>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</si>
  <si>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</si>
  <si>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</si>
  <si>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</si>
  <si>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</si>
  <si>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</si>
  <si>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</si>
  <si>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</si>
  <si>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</si>
  <si>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</si>
  <si>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</si>
  <si>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</si>
  <si>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</si>
  <si>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</si>
  <si>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</si>
  <si>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</si>
  <si>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</si>
  <si>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</si>
  <si>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</si>
  <si>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</si>
  <si>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</si>
  <si>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</si>
  <si>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</si>
  <si>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</si>
  <si>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</si>
  <si>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</si>
  <si>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</si>
  <si>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</si>
  <si>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</si>
  <si>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</si>
  <si>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</si>
  <si>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</si>
  <si>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</si>
  <si>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</si>
  <si>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</si>
  <si>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</si>
  <si>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</si>
  <si>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</si>
  <si>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</si>
  <si>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</si>
  <si>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</si>
  <si>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</si>
  <si>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</si>
  <si>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</si>
  <si>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</si>
  <si>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</si>
  <si>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</si>
  <si>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</si>
  <si>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</si>
  <si>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</si>
  <si>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</si>
  <si>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</si>
  <si>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</si>
  <si>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</si>
  <si>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</si>
  <si>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</si>
  <si>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</si>
  <si>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</si>
  <si>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</si>
  <si>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</si>
  <si>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</si>
  <si>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</si>
  <si>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</si>
  <si>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</si>
  <si>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</si>
  <si>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</si>
  <si>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</si>
  <si>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</si>
  <si>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</si>
  <si>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</si>
  <si>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</si>
  <si>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</si>
  <si>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</si>
  <si>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</si>
  <si>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</si>
  <si>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</si>
  <si>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</si>
  <si>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</si>
  <si>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</si>
  <si>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</si>
  <si>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</si>
  <si>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</si>
  <si>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</si>
  <si>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</si>
  <si>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</si>
  <si>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</si>
  <si>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</si>
  <si>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</si>
  <si>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</si>
  <si>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</si>
  <si>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</si>
  <si>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</si>
  <si>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</si>
  <si>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</si>
  <si>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</si>
  <si>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</si>
  <si>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</si>
  <si>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</si>
  <si>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</si>
  <si>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</si>
  <si>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</si>
  <si>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</si>
  <si>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</si>
  <si>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</si>
  <si>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</si>
  <si>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</si>
  <si>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</si>
  <si>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</si>
  <si>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</si>
  <si>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</si>
  <si>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</si>
  <si>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</si>
  <si>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</si>
  <si>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</si>
  <si>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</si>
  <si>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</si>
  <si>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</si>
  <si>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</si>
  <si>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</si>
  <si>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</si>
  <si>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</si>
  <si>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Days to Deliver</t>
  </si>
  <si>
    <t>Average of Rating C</t>
  </si>
  <si>
    <t>Value for display</t>
  </si>
  <si>
    <t>Qty</t>
  </si>
  <si>
    <t>Avg. Days</t>
  </si>
  <si>
    <t>Row Labels</t>
  </si>
  <si>
    <t>Grand Total</t>
  </si>
  <si>
    <t>Column Labels</t>
  </si>
  <si>
    <t>Female</t>
  </si>
  <si>
    <t>Male</t>
  </si>
  <si>
    <t>Other</t>
  </si>
  <si>
    <t>Unknown</t>
  </si>
  <si>
    <t>For Matrix</t>
  </si>
  <si>
    <t>Order Qty Analysis</t>
  </si>
  <si>
    <t>6 to 10</t>
  </si>
  <si>
    <t>More than 10</t>
  </si>
  <si>
    <t>Ventura Country</t>
  </si>
  <si>
    <t>Alpine Country</t>
  </si>
  <si>
    <t>Contra Costa Country</t>
  </si>
  <si>
    <t>Fresno Country</t>
  </si>
  <si>
    <t>Los Angeles Country</t>
  </si>
  <si>
    <t>Nevada Country</t>
  </si>
  <si>
    <t>Placer Country</t>
  </si>
  <si>
    <t>Sacramento Country</t>
  </si>
  <si>
    <t>San Bernardino Country</t>
  </si>
  <si>
    <t>San Diego Country</t>
  </si>
  <si>
    <t>San Mateo Country</t>
  </si>
  <si>
    <t>Santa Barbara Country</t>
  </si>
  <si>
    <t>Santa Clara Country</t>
  </si>
  <si>
    <t>Tehama Country</t>
  </si>
  <si>
    <t>Calaveras Country</t>
  </si>
  <si>
    <t>Inyo Country</t>
  </si>
  <si>
    <t>Napa Country</t>
  </si>
  <si>
    <t>Sonoma Country</t>
  </si>
  <si>
    <t>Stanislaus Country</t>
  </si>
  <si>
    <t>Tulare Country</t>
  </si>
  <si>
    <t>Alameda Country</t>
  </si>
  <si>
    <t>Kern Country</t>
  </si>
  <si>
    <t>Riverside Country</t>
  </si>
  <si>
    <t>Merced Country</t>
  </si>
  <si>
    <t>Orange Country</t>
  </si>
  <si>
    <t>San Joaquin Country</t>
  </si>
  <si>
    <t>Glenn Country</t>
  </si>
  <si>
    <t>Yolo Country</t>
  </si>
  <si>
    <t>Mendocino Country</t>
  </si>
  <si>
    <t>Siskiyou Country</t>
  </si>
  <si>
    <t>Sutter Country</t>
  </si>
  <si>
    <t>Santa Cruz Country</t>
  </si>
  <si>
    <t>Imperial Country</t>
  </si>
  <si>
    <t>Kings Country</t>
  </si>
  <si>
    <t>Plumas Country</t>
  </si>
  <si>
    <t>San Benito Country</t>
  </si>
  <si>
    <t>Madera Country</t>
  </si>
  <si>
    <t>Solano Country</t>
  </si>
  <si>
    <t>Modoc Country</t>
  </si>
  <si>
    <t>Mariposa Country</t>
  </si>
  <si>
    <t>San Luis Obispo Country</t>
  </si>
  <si>
    <t>El Dorado Country</t>
  </si>
  <si>
    <t>Marin Country</t>
  </si>
  <si>
    <t>Humboldt Country</t>
  </si>
  <si>
    <t>Trinity Country</t>
  </si>
  <si>
    <t>Amador Country</t>
  </si>
  <si>
    <t>Mono Country</t>
  </si>
  <si>
    <t>Sierra Country</t>
  </si>
  <si>
    <t>Monterey Country</t>
  </si>
  <si>
    <t>Lake Country</t>
  </si>
  <si>
    <t>Butte Country</t>
  </si>
  <si>
    <t>Tuolumne Country</t>
  </si>
  <si>
    <t>Shasta Country</t>
  </si>
  <si>
    <t>Colusa Country</t>
  </si>
  <si>
    <t>Lassen Country</t>
  </si>
  <si>
    <t>Yuba Country</t>
  </si>
  <si>
    <t>Del Norte Country</t>
  </si>
  <si>
    <t>Country</t>
  </si>
  <si>
    <t>Maps chart of Qty</t>
  </si>
  <si>
    <t>Map Chart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</si>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</sst>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0" fontId="0" fillId="0" borderId="7" xfId="0" applyBorder="1"/>
    <xf numFmtId="165" fontId="0" fillId="0" borderId="8" xfId="0" applyNumberFormat="1" applyBorder="1" applyAlignment="1">
      <alignment horizontal="center" vertical="center"/>
    </xf>
    <xf numFmtId="165" fontId="0" fillId="0" borderId="9" xfId="0" applyNumberFormat="1" applyBorder="1" applyAlignment="1">
      <alignment horizontal="center" vertical="center"/>
    </xf>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A166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Last 13 week Trends: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7865355098782"/>
          <c:y val="0.15241916469949549"/>
          <c:w val="0.59511242344706916"/>
          <c:h val="0.65853091280256637"/>
        </c:manualLayout>
      </c:layout>
      <c:lineChart>
        <c:grouping val="standard"/>
        <c:varyColors val="0"/>
        <c:ser>
          <c:idx val="0"/>
          <c:order val="0"/>
          <c:tx>
            <c:strRef>
              <c:f>Pivot!$B$10</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662E-40F7-BD5A-35E59F5330D9}"/>
            </c:ext>
          </c:extLst>
        </c:ser>
        <c:dLbls>
          <c:showLegendKey val="0"/>
          <c:showVal val="0"/>
          <c:showCatName val="0"/>
          <c:showSerName val="0"/>
          <c:showPercent val="0"/>
          <c:showBubbleSize val="0"/>
        </c:dLbls>
        <c:marker val="1"/>
        <c:smooth val="0"/>
        <c:axId val="524748719"/>
        <c:axId val="524754543"/>
      </c:lineChart>
      <c:lineChart>
        <c:grouping val="standard"/>
        <c:varyColors val="0"/>
        <c:ser>
          <c:idx val="1"/>
          <c:order val="1"/>
          <c:tx>
            <c:strRef>
              <c:f>Pivot!$C$10</c:f>
              <c:strCache>
                <c:ptCount val="1"/>
                <c:pt idx="0">
                  <c:v>Sum of Quantity</c:v>
                </c:pt>
              </c:strCache>
            </c:strRef>
          </c:tx>
          <c:spPr>
            <a:ln w="28575" cap="rnd">
              <a:solidFill>
                <a:schemeClr val="accent2"/>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662E-40F7-BD5A-35E59F5330D9}"/>
            </c:ext>
          </c:extLst>
        </c:ser>
        <c:dLbls>
          <c:showLegendKey val="0"/>
          <c:showVal val="0"/>
          <c:showCatName val="0"/>
          <c:showSerName val="0"/>
          <c:showPercent val="0"/>
          <c:showBubbleSize val="0"/>
        </c:dLbls>
        <c:marker val="1"/>
        <c:smooth val="0"/>
        <c:axId val="524749551"/>
        <c:axId val="524750383"/>
      </c:lineChart>
      <c:catAx>
        <c:axId val="52474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54543"/>
        <c:crosses val="autoZero"/>
        <c:auto val="1"/>
        <c:lblAlgn val="ctr"/>
        <c:lblOffset val="100"/>
        <c:noMultiLvlLbl val="0"/>
      </c:catAx>
      <c:valAx>
        <c:axId val="5247545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48719"/>
        <c:crosses val="autoZero"/>
        <c:crossBetween val="between"/>
      </c:valAx>
      <c:valAx>
        <c:axId val="524750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49551"/>
        <c:crosses val="max"/>
        <c:crossBetween val="between"/>
      </c:valAx>
      <c:catAx>
        <c:axId val="524749551"/>
        <c:scaling>
          <c:orientation val="minMax"/>
        </c:scaling>
        <c:delete val="1"/>
        <c:axPos val="b"/>
        <c:numFmt formatCode="General" sourceLinked="1"/>
        <c:majorTickMark val="out"/>
        <c:minorTickMark val="none"/>
        <c:tickLblPos val="nextTo"/>
        <c:crossAx val="5247503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Pivot!$A$33:$A$40</c:f>
              <c:strCache>
                <c:ptCount val="7"/>
                <c:pt idx="0">
                  <c:v>1</c:v>
                </c:pt>
                <c:pt idx="1">
                  <c:v>2</c:v>
                </c:pt>
                <c:pt idx="2">
                  <c:v>3</c:v>
                </c:pt>
                <c:pt idx="3">
                  <c:v>4</c:v>
                </c:pt>
                <c:pt idx="4">
                  <c:v>5</c:v>
                </c:pt>
                <c:pt idx="5">
                  <c:v>6 to 10</c:v>
                </c:pt>
                <c:pt idx="6">
                  <c:v>More than 10</c:v>
                </c:pt>
              </c:strCache>
            </c:strRef>
          </c:cat>
          <c:val>
            <c:numRef>
              <c:f>Pivot!$B$33:$B$40</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6449-43F7-BE61-936314611F2B}"/>
            </c:ext>
          </c:extLst>
        </c:ser>
        <c:dLbls>
          <c:showLegendKey val="0"/>
          <c:showVal val="0"/>
          <c:showCatName val="0"/>
          <c:showSerName val="0"/>
          <c:showPercent val="0"/>
          <c:showBubbleSize val="0"/>
        </c:dLbls>
        <c:gapWidth val="0"/>
        <c:overlap val="-27"/>
        <c:axId val="1174727615"/>
        <c:axId val="1174724703"/>
      </c:barChart>
      <c:catAx>
        <c:axId val="117472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24703"/>
        <c:crosses val="autoZero"/>
        <c:auto val="1"/>
        <c:lblAlgn val="ctr"/>
        <c:lblOffset val="100"/>
        <c:noMultiLvlLbl val="0"/>
      </c:catAx>
      <c:valAx>
        <c:axId val="117472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2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[ecommerce-blank.xlsx]Pivot!pvtProduct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Which</a:t>
            </a:r>
            <a:r>
              <a:rPr lang="en-US" sz="1600" b="1" baseline="0"/>
              <a:t> Products are Popular?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Pivot!$B$46:$B$47</c:f>
              <c:strCache>
                <c:ptCount val="1"/>
                <c:pt idx="0">
                  <c:v>Female</c:v>
                </c:pt>
              </c:strCache>
            </c:strRef>
          </c:tx>
          <c:spPr>
            <a:solidFill>
              <a:schemeClr val="accent1"/>
            </a:solidFill>
            <a:ln>
              <a:noFill/>
            </a:ln>
            <a:effectLst/>
          </c:spPr>
          <c:invertIfNegative val="0"/>
          <c:cat>
            <c:strRef>
              <c:f>Pivot!$A$48:$A$68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Pivot!$B$48:$B$68</c:f>
              <c:numCache>
                <c:formatCode>General</c:formatCode>
                <c:ptCount val="20"/>
                <c:pt idx="0">
                  <c:v>151</c:v>
                </c:pt>
                <c:pt idx="1">
                  <c:v>138</c:v>
                </c:pt>
                <c:pt idx="2">
                  <c:v>139</c:v>
                </c:pt>
                <c:pt idx="3">
                  <c:v>104</c:v>
                </c:pt>
                <c:pt idx="4">
                  <c:v>85</c:v>
                </c:pt>
                <c:pt idx="5">
                  <c:v>90</c:v>
                </c:pt>
                <c:pt idx="6">
                  <c:v>87</c:v>
                </c:pt>
                <c:pt idx="7">
                  <c:v>68</c:v>
                </c:pt>
                <c:pt idx="8">
                  <c:v>63</c:v>
                </c:pt>
                <c:pt idx="9">
                  <c:v>53</c:v>
                </c:pt>
                <c:pt idx="10">
                  <c:v>52</c:v>
                </c:pt>
                <c:pt idx="11">
                  <c:v>28</c:v>
                </c:pt>
                <c:pt idx="12">
                  <c:v>21</c:v>
                </c:pt>
                <c:pt idx="13">
                  <c:v>31</c:v>
                </c:pt>
                <c:pt idx="14">
                  <c:v>29</c:v>
                </c:pt>
                <c:pt idx="15">
                  <c:v>32</c:v>
                </c:pt>
                <c:pt idx="16">
                  <c:v>24</c:v>
                </c:pt>
                <c:pt idx="17">
                  <c:v>14</c:v>
                </c:pt>
                <c:pt idx="18">
                  <c:v>14</c:v>
                </c:pt>
                <c:pt idx="19">
                  <c:v>8</c:v>
                </c:pt>
              </c:numCache>
            </c:numRef>
          </c:val>
          <c:extLst>
            <c:ext xmlns:c16="http://schemas.microsoft.com/office/drawing/2014/chart" uri="{C3380CC4-5D6E-409C-BE32-E72D297353CC}">
              <c16:uniqueId val="{00000000-5F91-4335-9672-4DF57BF36BB0}"/>
            </c:ext>
          </c:extLst>
        </c:ser>
        <c:ser>
          <c:idx val="1"/>
          <c:order val="1"/>
          <c:tx>
            <c:strRef>
              <c:f>Pivot!$C$46:$C$47</c:f>
              <c:strCache>
                <c:ptCount val="1"/>
                <c:pt idx="0">
                  <c:v>Male</c:v>
                </c:pt>
              </c:strCache>
            </c:strRef>
          </c:tx>
          <c:spPr>
            <a:solidFill>
              <a:schemeClr val="accent2"/>
            </a:solidFill>
            <a:ln>
              <a:noFill/>
            </a:ln>
            <a:effectLst/>
          </c:spPr>
          <c:invertIfNegative val="0"/>
          <c:cat>
            <c:strRef>
              <c:f>Pivot!$A$48:$A$68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Pivot!$C$48:$C$68</c:f>
              <c:numCache>
                <c:formatCode>General</c:formatCode>
                <c:ptCount val="20"/>
                <c:pt idx="0">
                  <c:v>141</c:v>
                </c:pt>
                <c:pt idx="1">
                  <c:v>114</c:v>
                </c:pt>
                <c:pt idx="2">
                  <c:v>88</c:v>
                </c:pt>
                <c:pt idx="3">
                  <c:v>69</c:v>
                </c:pt>
                <c:pt idx="4">
                  <c:v>67</c:v>
                </c:pt>
                <c:pt idx="5">
                  <c:v>60</c:v>
                </c:pt>
                <c:pt idx="6">
                  <c:v>50</c:v>
                </c:pt>
                <c:pt idx="7">
                  <c:v>51</c:v>
                </c:pt>
                <c:pt idx="8">
                  <c:v>50</c:v>
                </c:pt>
                <c:pt idx="9">
                  <c:v>48</c:v>
                </c:pt>
                <c:pt idx="10">
                  <c:v>27</c:v>
                </c:pt>
                <c:pt idx="11">
                  <c:v>39</c:v>
                </c:pt>
                <c:pt idx="12">
                  <c:v>37</c:v>
                </c:pt>
                <c:pt idx="13">
                  <c:v>24</c:v>
                </c:pt>
                <c:pt idx="14">
                  <c:v>18</c:v>
                </c:pt>
                <c:pt idx="15">
                  <c:v>17</c:v>
                </c:pt>
                <c:pt idx="16">
                  <c:v>17</c:v>
                </c:pt>
                <c:pt idx="17">
                  <c:v>19</c:v>
                </c:pt>
                <c:pt idx="18">
                  <c:v>16</c:v>
                </c:pt>
                <c:pt idx="19">
                  <c:v>7</c:v>
                </c:pt>
              </c:numCache>
            </c:numRef>
          </c:val>
          <c:extLst>
            <c:ext xmlns:c16="http://schemas.microsoft.com/office/drawing/2014/chart" uri="{C3380CC4-5D6E-409C-BE32-E72D297353CC}">
              <c16:uniqueId val="{00000004-F2B3-4F11-A2F5-B25315CD1543}"/>
            </c:ext>
          </c:extLst>
        </c:ser>
        <c:ser>
          <c:idx val="2"/>
          <c:order val="2"/>
          <c:tx>
            <c:strRef>
              <c:f>Pivot!$D$46:$D$47</c:f>
              <c:strCache>
                <c:ptCount val="1"/>
                <c:pt idx="0">
                  <c:v>Other</c:v>
                </c:pt>
              </c:strCache>
            </c:strRef>
          </c:tx>
          <c:spPr>
            <a:solidFill>
              <a:schemeClr val="accent3"/>
            </a:solidFill>
            <a:ln>
              <a:noFill/>
            </a:ln>
            <a:effectLst/>
          </c:spPr>
          <c:invertIfNegative val="0"/>
          <c:cat>
            <c:strRef>
              <c:f>Pivot!$A$48:$A$68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Pivot!$D$48:$D$68</c:f>
              <c:numCache>
                <c:formatCode>General</c:formatCode>
                <c:ptCount val="20"/>
                <c:pt idx="0">
                  <c:v>15</c:v>
                </c:pt>
                <c:pt idx="1">
                  <c:v>8</c:v>
                </c:pt>
                <c:pt idx="2">
                  <c:v>6</c:v>
                </c:pt>
                <c:pt idx="3">
                  <c:v>8</c:v>
                </c:pt>
                <c:pt idx="4">
                  <c:v>3</c:v>
                </c:pt>
                <c:pt idx="6">
                  <c:v>5</c:v>
                </c:pt>
                <c:pt idx="7">
                  <c:v>4</c:v>
                </c:pt>
                <c:pt idx="8">
                  <c:v>2</c:v>
                </c:pt>
                <c:pt idx="9">
                  <c:v>4</c:v>
                </c:pt>
                <c:pt idx="10">
                  <c:v>5</c:v>
                </c:pt>
                <c:pt idx="11">
                  <c:v>5</c:v>
                </c:pt>
                <c:pt idx="12">
                  <c:v>2</c:v>
                </c:pt>
                <c:pt idx="13">
                  <c:v>1</c:v>
                </c:pt>
                <c:pt idx="14">
                  <c:v>1</c:v>
                </c:pt>
                <c:pt idx="15">
                  <c:v>1</c:v>
                </c:pt>
                <c:pt idx="16">
                  <c:v>1</c:v>
                </c:pt>
                <c:pt idx="17">
                  <c:v>1</c:v>
                </c:pt>
                <c:pt idx="18">
                  <c:v>1</c:v>
                </c:pt>
                <c:pt idx="19">
                  <c:v>2</c:v>
                </c:pt>
              </c:numCache>
            </c:numRef>
          </c:val>
          <c:extLst>
            <c:ext xmlns:c16="http://schemas.microsoft.com/office/drawing/2014/chart" uri="{C3380CC4-5D6E-409C-BE32-E72D297353CC}">
              <c16:uniqueId val="{00000005-F2B3-4F11-A2F5-B25315CD1543}"/>
            </c:ext>
          </c:extLst>
        </c:ser>
        <c:ser>
          <c:idx val="3"/>
          <c:order val="3"/>
          <c:tx>
            <c:strRef>
              <c:f>Pivot!$E$46:$E$47</c:f>
              <c:strCache>
                <c:ptCount val="1"/>
                <c:pt idx="0">
                  <c:v>Unknown</c:v>
                </c:pt>
              </c:strCache>
            </c:strRef>
          </c:tx>
          <c:spPr>
            <a:solidFill>
              <a:schemeClr val="accent4"/>
            </a:solidFill>
            <a:ln>
              <a:noFill/>
            </a:ln>
            <a:effectLst/>
          </c:spPr>
          <c:invertIfNegative val="0"/>
          <c:cat>
            <c:strRef>
              <c:f>Pivot!$A$48:$A$68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Pivot!$E$48:$E$68</c:f>
              <c:numCache>
                <c:formatCode>General</c:formatCode>
                <c:ptCount val="20"/>
                <c:pt idx="0">
                  <c:v>18</c:v>
                </c:pt>
                <c:pt idx="1">
                  <c:v>26</c:v>
                </c:pt>
                <c:pt idx="2">
                  <c:v>14</c:v>
                </c:pt>
                <c:pt idx="3">
                  <c:v>6</c:v>
                </c:pt>
                <c:pt idx="4">
                  <c:v>7</c:v>
                </c:pt>
                <c:pt idx="5">
                  <c:v>5</c:v>
                </c:pt>
                <c:pt idx="6">
                  <c:v>10</c:v>
                </c:pt>
                <c:pt idx="7">
                  <c:v>5</c:v>
                </c:pt>
                <c:pt idx="8">
                  <c:v>3</c:v>
                </c:pt>
                <c:pt idx="9">
                  <c:v>6</c:v>
                </c:pt>
                <c:pt idx="10">
                  <c:v>6</c:v>
                </c:pt>
                <c:pt idx="11">
                  <c:v>4</c:v>
                </c:pt>
                <c:pt idx="12">
                  <c:v>9</c:v>
                </c:pt>
                <c:pt idx="13">
                  <c:v>6</c:v>
                </c:pt>
                <c:pt idx="14">
                  <c:v>4</c:v>
                </c:pt>
                <c:pt idx="16">
                  <c:v>3</c:v>
                </c:pt>
                <c:pt idx="17">
                  <c:v>1</c:v>
                </c:pt>
                <c:pt idx="18">
                  <c:v>2</c:v>
                </c:pt>
              </c:numCache>
            </c:numRef>
          </c:val>
          <c:extLst>
            <c:ext xmlns:c16="http://schemas.microsoft.com/office/drawing/2014/chart" uri="{C3380CC4-5D6E-409C-BE32-E72D297353CC}">
              <c16:uniqueId val="{00000006-F2B3-4F11-A2F5-B25315CD1543}"/>
            </c:ext>
          </c:extLst>
        </c:ser>
        <c:dLbls>
          <c:showLegendKey val="0"/>
          <c:showVal val="0"/>
          <c:showCatName val="0"/>
          <c:showSerName val="0"/>
          <c:showPercent val="0"/>
          <c:showBubbleSize val="0"/>
        </c:dLbls>
        <c:gapWidth val="10"/>
        <c:overlap val="100"/>
        <c:axId val="1691773743"/>
        <c:axId val="1691770415"/>
      </c:barChart>
      <c:catAx>
        <c:axId val="169177374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770415"/>
        <c:crosses val="autoZero"/>
        <c:auto val="1"/>
        <c:lblAlgn val="ctr"/>
        <c:lblOffset val="100"/>
        <c:noMultiLvlLbl val="0"/>
      </c:catAx>
      <c:valAx>
        <c:axId val="16917704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77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[ecommerce-blank.xlsx]Pivot!pvtGender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Popularity</a:t>
            </a:r>
            <a:r>
              <a:rPr lang="en-US" sz="1600" b="1" baseline="0"/>
              <a:t> of Products By Gender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1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Pivot!$B$72</c:f>
              <c:strCache>
                <c:ptCount val="1"/>
                <c:pt idx="0">
                  <c:v>Total</c:v>
                </c:pt>
              </c:strCache>
            </c:strRef>
          </c:tx>
          <c:explosion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68-47A9-A200-22E87B1270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68-47A9-A200-22E87B1270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68-47A9-A200-22E87B1270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68-47A9-A200-22E87B1270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Pivot!$A$73:$A$77</c:f>
              <c:strCache>
                <c:ptCount val="4"/>
                <c:pt idx="0">
                  <c:v>Female</c:v>
                </c:pt>
                <c:pt idx="1">
                  <c:v>Male</c:v>
                </c:pt>
                <c:pt idx="2">
                  <c:v>Other</c:v>
                </c:pt>
                <c:pt idx="3">
                  <c:v>Unknown</c:v>
                </c:pt>
              </c:strCache>
            </c:strRef>
          </c:cat>
          <c:val>
            <c:numRef>
              <c:f>Pivot!$B$73:$B$77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668-47A9-A200-22E87B12707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[ecommerce-blank.xlsx]Pivot!pvtDuration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How Long</a:t>
            </a:r>
            <a:r>
              <a:rPr lang="en-US" sz="1600" b="1" baseline="0"/>
              <a:t> it Take to Ship?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Pivot!$B$147</c:f>
              <c:strCache>
                <c:ptCount val="1"/>
                <c:pt idx="0">
                  <c:v>Total</c:v>
                </c:pt>
              </c:strCache>
            </c:strRef>
          </c:tx>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Pivot!$A$148:$A$163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Pivot!$B$148:$B$163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518-4310-8F5D-91865DEBA2E3}"/>
            </c:ext>
          </c:extLst>
        </c:ser>
        <c:dLbls>
          <c:showLegendKey val="0"/>
          <c:showVal val="0"/>
          <c:showCatName val="0"/>
          <c:showSerName val="0"/>
          <c:showPercent val="0"/>
          <c:showBubbleSize val="0"/>
        </c:dLbls>
        <c:gapWidth val="20"/>
        <c:overlap val="-27"/>
        <c:axId val="1807484175"/>
        <c:axId val="1807489999"/>
      </c:barChart>
      <c:catAx>
        <c:axId val="180748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489999"/>
        <c:crosses val="autoZero"/>
        <c:auto val="1"/>
        <c:lblAlgn val="ctr"/>
        <c:lblOffset val="100"/>
        <c:noMultiLvlLbl val="0"/>
      </c:catAx>
      <c:valAx>
        <c:axId val="1807489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48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[ecommerce-blank.xlsx]Pivot!pvtRating</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How Satisfied Are</a:t>
            </a:r>
            <a:r>
              <a:rPr lang="en-US" sz="1600" b="1" baseline="0"/>
              <a:t> Our 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Pivot!$B$168:$B$169</c:f>
              <c:strCache>
                <c:ptCount val="1"/>
                <c:pt idx="0">
                  <c:v>1</c:v>
                </c:pt>
              </c:strCache>
            </c:strRef>
          </c:tx>
          <c:spPr>
            <a:solidFill>
              <a:schemeClr val="accent1"/>
            </a:solidFill>
            <a:ln>
              <a:noFill/>
            </a:ln>
            <a:effectLst/>
          </c:spPr>
          <c:invertIfNegative val="0"/>
          <c:cat>
            <c:strRef>
              <c:f>Pivot!$A$170:$A$173</c:f>
              <c:strCache>
                <c:ptCount val="3"/>
                <c:pt idx="0">
                  <c:v>Jan</c:v>
                </c:pt>
                <c:pt idx="1">
                  <c:v>Feb</c:v>
                </c:pt>
                <c:pt idx="2">
                  <c:v>Mar</c:v>
                </c:pt>
              </c:strCache>
            </c:strRef>
          </c:cat>
          <c:val>
            <c:numRef>
              <c:f>Pivot!$B$170:$B$173</c:f>
              <c:numCache>
                <c:formatCode>General</c:formatCode>
                <c:ptCount val="3"/>
                <c:pt idx="0">
                  <c:v>7</c:v>
                </c:pt>
                <c:pt idx="1">
                  <c:v>8</c:v>
                </c:pt>
                <c:pt idx="2">
                  <c:v>6</c:v>
                </c:pt>
              </c:numCache>
            </c:numRef>
          </c:val>
          <c:extLst>
            <c:ext xmlns:c16="http://schemas.microsoft.com/office/drawing/2014/chart" uri="{C3380CC4-5D6E-409C-BE32-E72D297353CC}">
              <c16:uniqueId val="{00000000-7FFD-4BF7-BC44-6EE8EC5B8F7F}"/>
            </c:ext>
          </c:extLst>
        </c:ser>
        <c:ser>
          <c:idx val="1"/>
          <c:order val="1"/>
          <c:tx>
            <c:strRef>
              <c:f>Pivot!$C$168:$C$169</c:f>
              <c:strCache>
                <c:ptCount val="1"/>
                <c:pt idx="0">
                  <c:v>2</c:v>
                </c:pt>
              </c:strCache>
            </c:strRef>
          </c:tx>
          <c:spPr>
            <a:solidFill>
              <a:schemeClr val="accent2"/>
            </a:solidFill>
            <a:ln>
              <a:noFill/>
            </a:ln>
            <a:effectLst/>
          </c:spPr>
          <c:invertIfNegative val="0"/>
          <c:cat>
            <c:strRef>
              <c:f>Pivot!$A$170:$A$173</c:f>
              <c:strCache>
                <c:ptCount val="3"/>
                <c:pt idx="0">
                  <c:v>Jan</c:v>
                </c:pt>
                <c:pt idx="1">
                  <c:v>Feb</c:v>
                </c:pt>
                <c:pt idx="2">
                  <c:v>Mar</c:v>
                </c:pt>
              </c:strCache>
            </c:strRef>
          </c:cat>
          <c:val>
            <c:numRef>
              <c:f>Pivot!$C$170:$C$173</c:f>
              <c:numCache>
                <c:formatCode>General</c:formatCode>
                <c:ptCount val="3"/>
                <c:pt idx="0">
                  <c:v>37</c:v>
                </c:pt>
                <c:pt idx="1">
                  <c:v>51</c:v>
                </c:pt>
                <c:pt idx="2">
                  <c:v>39</c:v>
                </c:pt>
              </c:numCache>
            </c:numRef>
          </c:val>
          <c:extLst>
            <c:ext xmlns:c16="http://schemas.microsoft.com/office/drawing/2014/chart" uri="{C3380CC4-5D6E-409C-BE32-E72D297353CC}">
              <c16:uniqueId val="{00000001-7FFD-4BF7-BC44-6EE8EC5B8F7F}"/>
            </c:ext>
          </c:extLst>
        </c:ser>
        <c:ser>
          <c:idx val="2"/>
          <c:order val="2"/>
          <c:tx>
            <c:strRef>
              <c:f>Pivot!$D$168:$D$169</c:f>
              <c:strCache>
                <c:ptCount val="1"/>
                <c:pt idx="0">
                  <c:v>3</c:v>
                </c:pt>
              </c:strCache>
            </c:strRef>
          </c:tx>
          <c:spPr>
            <a:solidFill>
              <a:schemeClr val="accent3"/>
            </a:solidFill>
            <a:ln>
              <a:noFill/>
            </a:ln>
            <a:effectLst/>
          </c:spPr>
          <c:invertIfNegative val="0"/>
          <c:cat>
            <c:strRef>
              <c:f>Pivot!$A$170:$A$173</c:f>
              <c:strCache>
                <c:ptCount val="3"/>
                <c:pt idx="0">
                  <c:v>Jan</c:v>
                </c:pt>
                <c:pt idx="1">
                  <c:v>Feb</c:v>
                </c:pt>
                <c:pt idx="2">
                  <c:v>Mar</c:v>
                </c:pt>
              </c:strCache>
            </c:strRef>
          </c:cat>
          <c:val>
            <c:numRef>
              <c:f>Pivot!$D$170:$D$173</c:f>
              <c:numCache>
                <c:formatCode>General</c:formatCode>
                <c:ptCount val="3"/>
                <c:pt idx="0">
                  <c:v>150</c:v>
                </c:pt>
                <c:pt idx="1">
                  <c:v>182</c:v>
                </c:pt>
                <c:pt idx="2">
                  <c:v>163</c:v>
                </c:pt>
              </c:numCache>
            </c:numRef>
          </c:val>
          <c:extLst>
            <c:ext xmlns:c16="http://schemas.microsoft.com/office/drawing/2014/chart" uri="{C3380CC4-5D6E-409C-BE32-E72D297353CC}">
              <c16:uniqueId val="{00000002-7FFD-4BF7-BC44-6EE8EC5B8F7F}"/>
            </c:ext>
          </c:extLst>
        </c:ser>
        <c:ser>
          <c:idx val="3"/>
          <c:order val="3"/>
          <c:tx>
            <c:strRef>
              <c:f>Pivot!$E$168:$E$169</c:f>
              <c:strCache>
                <c:ptCount val="1"/>
                <c:pt idx="0">
                  <c:v>4</c:v>
                </c:pt>
              </c:strCache>
            </c:strRef>
          </c:tx>
          <c:spPr>
            <a:solidFill>
              <a:schemeClr val="accent4"/>
            </a:solidFill>
            <a:ln>
              <a:noFill/>
            </a:ln>
            <a:effectLst/>
          </c:spPr>
          <c:invertIfNegative val="0"/>
          <c:cat>
            <c:strRef>
              <c:f>Pivot!$A$170:$A$173</c:f>
              <c:strCache>
                <c:ptCount val="3"/>
                <c:pt idx="0">
                  <c:v>Jan</c:v>
                </c:pt>
                <c:pt idx="1">
                  <c:v>Feb</c:v>
                </c:pt>
                <c:pt idx="2">
                  <c:v>Mar</c:v>
                </c:pt>
              </c:strCache>
            </c:strRef>
          </c:cat>
          <c:val>
            <c:numRef>
              <c:f>Pivot!$E$170:$E$173</c:f>
              <c:numCache>
                <c:formatCode>General</c:formatCode>
                <c:ptCount val="3"/>
                <c:pt idx="0">
                  <c:v>312</c:v>
                </c:pt>
                <c:pt idx="1">
                  <c:v>373</c:v>
                </c:pt>
                <c:pt idx="2">
                  <c:v>351</c:v>
                </c:pt>
              </c:numCache>
            </c:numRef>
          </c:val>
          <c:extLst>
            <c:ext xmlns:c16="http://schemas.microsoft.com/office/drawing/2014/chart" uri="{C3380CC4-5D6E-409C-BE32-E72D297353CC}">
              <c16:uniqueId val="{00000003-7FFD-4BF7-BC44-6EE8EC5B8F7F}"/>
            </c:ext>
          </c:extLst>
        </c:ser>
        <c:ser>
          <c:idx val="4"/>
          <c:order val="4"/>
          <c:tx>
            <c:strRef>
              <c:f>Pivot!$F$168:$F$169</c:f>
              <c:strCache>
                <c:ptCount val="1"/>
                <c:pt idx="0">
                  <c:v>5</c:v>
                </c:pt>
              </c:strCache>
            </c:strRef>
          </c:tx>
          <c:spPr>
            <a:solidFill>
              <a:schemeClr val="accent5"/>
            </a:solidFill>
            <a:ln>
              <a:noFill/>
            </a:ln>
            <a:effectLst/>
          </c:spPr>
          <c:invertIfNegative val="0"/>
          <c:cat>
            <c:strRef>
              <c:f>Pivot!$A$170:$A$173</c:f>
              <c:strCache>
                <c:ptCount val="3"/>
                <c:pt idx="0">
                  <c:v>Jan</c:v>
                </c:pt>
                <c:pt idx="1">
                  <c:v>Feb</c:v>
                </c:pt>
                <c:pt idx="2">
                  <c:v>Mar</c:v>
                </c:pt>
              </c:strCache>
            </c:strRef>
          </c:cat>
          <c:val>
            <c:numRef>
              <c:f>Pivot!$F$170:$F$173</c:f>
              <c:numCache>
                <c:formatCode>General</c:formatCode>
                <c:ptCount val="3"/>
                <c:pt idx="0">
                  <c:v>224</c:v>
                </c:pt>
                <c:pt idx="1">
                  <c:v>247</c:v>
                </c:pt>
                <c:pt idx="2">
                  <c:v>250</c:v>
                </c:pt>
              </c:numCache>
            </c:numRef>
          </c:val>
          <c:extLst>
            <c:ext xmlns:c16="http://schemas.microsoft.com/office/drawing/2014/chart" uri="{C3380CC4-5D6E-409C-BE32-E72D297353CC}">
              <c16:uniqueId val="{00000004-7FFD-4BF7-BC44-6EE8EC5B8F7F}"/>
            </c:ext>
          </c:extLst>
        </c:ser>
        <c:dLbls>
          <c:showLegendKey val="0"/>
          <c:showVal val="0"/>
          <c:showCatName val="0"/>
          <c:showSerName val="0"/>
          <c:showPercent val="0"/>
          <c:showBubbleSize val="0"/>
        </c:dLbls>
        <c:gapWidth val="219"/>
        <c:overlap val="-27"/>
        <c:axId val="1846658959"/>
        <c:axId val="1846655631"/>
      </c:barChart>
      <c:catAx>
        <c:axId val="184665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655631"/>
        <c:crosses val="autoZero"/>
        <c:auto val="1"/>
        <c:lblAlgn val="ctr"/>
        <c:lblOffset val="100"/>
        <c:noMultiLvlLbl val="0"/>
      </c:catAx>
      <c:valAx>
        <c:axId val="184665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658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A891AFA5-D51C-4585-A328-A2566024153E}">
          <cx:tx>
            <cx:txData>
              <cx:f>_xlchart.v5.6</cx:f>
              <cx:v>Qty</cx:v>
            </cx:txData>
          </cx:tx>
          <cx:spPr>
            <a:ln>
              <a:solidFill>
                <a:schemeClr val="tx1"/>
              </a:solidFill>
            </a:ln>
          </cx:spPr>
          <cx:dataId val="0"/>
          <cx:layoutPr>
            <cx:geography cultureLanguage="en-US" cultureRegion="US" attribution="Powered by Bing">
              <cx:geoCache provider="{E9337A44-BEBE-4D9F-B70C-5C5E7DAFC167}">
                <cx:binary>3H1Zc9s4Fu5fSeX50o2FJIip6akakJIs746drV9Yiq1wJ0iA+6+/h46TsRZn6KpW3TtS90xXIh7o
EB9wdhz886H7x0O6Xql3XZbm+h8P3Z/vw6oq/vHHH/ohXGcrfZJFD0pq+b06eZDZH/L79+hh/cej
WrVRHvxBEDb/eAhXqlp37//1TxgtWMsL+bCqIpnf1mvVf1jrOq30b77b+9W71WMW5V6kKxU9VPjP
9+4qjb5LlUer95vfkT/f/ztdZevH1TtX1nnVv3+3zquo6u/7Yv3n+41xyPt3f2z/3A5r71Lgvqof
gZiyEweZDnFsyp8+7P27VObB89cGJuSEMGIyG0b+8atXwMqbOHriZ/X4qNZaw5s9/Xd3gI3XgNn4
93+fhYdxNkYAAsDiz/cf86haP767q1bVWr9/F2n5NF2qd+X4qh/vnubmj00I//XPrb+A2dr6mxco
b0/tf/tqE8j/CnIR5esDYOyc2JxaNrbMHxg7WxhjfsLgY1nM3AZ5KkevYbxBPwniDYojQ/gmXT2s
1UEQdjjj2HQ4evrQLYQJPkHMpBiRHyuAb+I8na/9OG/RT8B5i+LIcHYlyKVRWuvqEDLbOUHY4ZxS
tn8/g8zG1HQshmGnvxTab+VrP9p7R5mA+V66I0P+39nqUR5mh1NQwog4IKI3FTQC4U0Ip+jH3seb
kE9naD/YW/QTYN6iODKARV1Vh9DR/MTChJroNR0NEtyyTBtjsgXwZIb247tJPgHeTYIjQ/dulb8T
a5Wv1GOUywMoavMEI4dih9L9ihqzE8JNBMp8cxu/nbH9cL8yzgTcX6E8sgWwzIq1ilbpAaAnJ4wT
xxqtsL02GrZOLNuyLAxifvxs7fO3cLYf+50RJqC+Q3NkeHvr9N2VBOf+7wfcxCfMMkE3j7ba+Nlx
rc0TgkwKrvWWb/0mpvZjvTvEBLB3iY4M7btIJ1Ev68OATbHlkJ9xFJDfm2YaObHBB7eQDb7ZS5v8
LTztx3pnhAlQ79AcGdIQTFs1a7XSfz/U1DnB3CaYMPYkpxHs3k2o0YntIA7WnL0J9ZuY2o/17hAT
wN4lOjK0wTYBR1us1LfVk9sNYcG/NUhqnpgEOTZEWH5I8u3NDQE0mzvUxNT+8cAm7m9mbz/2+4eZ
gP9+wuNbA++8aB0cwmoH0w1bzALzbWurg7mObeqAPW+9Avx0nl4FfWuIaYBvER0Z2LP0nScVhFoO
It4Z4bZFnhMifHuzEwi48DHWau2109/E2n7Md4eYgPku0ZFh7sq01ocIp3Iww0FbQ37kFX1OThA4
7TY3rU25Pp2j/Thv0U8AeYviyBC+Wz0oSC7m1WG2tcUgDWaCZfb02fHG8InJx38gCDd+ttzvt/G2
H+89Y0zAfA/VkeE+h8zwQaJt9gmjGGIq+HW7jTkW/IO3dvZ0jvYjvUU/AeUtiiND+CatodLiAMqa
n3BqM1DWzwjv7Gp0wiErakH+e1N2T+doP8Jb9BMQ3qI4MoQX6TrPDwKwRZCFOQFfetPLhiQndzCj
1lb0bDIn+4HdJJ+A6ybBkcF6uXqEKMoBcLVPIIYC2LFnowvU7Sa86ARCZaZjYrC/X8bLpnO0H98t
+gkAb1EcGcKndfZNpo/V34+xCY6SY2PT3N27kAazMUVQd7bPbX4LS/tB3hlhAsw7NEcG9H0NDlR2
kAIzdsIdSFua5nP50Z7NTB2CsUO2gt9v4Wk/0jsjTEB6h+bYkF6Hq+wAQhs2NCQnbWSRV+zpsVgU
oqBQpkD2+VD3k/l6BetN+ilIb1IcGc7LvD+Ep2xDSTABq4s9l4tuB8DwmADhtu04W+VlU/nZj+4G
9QRsN54/MmTPoQbl71fI1Dqh7KnG6EfkcoxxbBhdkMcYKwsxJeBHvTS6pvKzH9kN6gnIbjx/ZMje
hauDFIWCbIbybchF0NeykuQEEhXIgRT1JrbTOdqP7hb9BHy3KI4M4Uv5KB/+/s0L5SRgXkEkAz/n
GHccYlgBJoH6QbxlZE1maD++m+QT4N0kODJ0z+FQ0CECWfYJCF04aGM+JxJ3lC6kmOE7KP/cFs1T
GdqP7ub7TEB3k+DI0L1YJQeoBKOgVqHsjyEo0n767FSMkBOOLWw7bEs2T+VnP7Yb1BOg3Xj+yJC9
XKmokAfJH7ITCFNBIMv54fTss6q4bTKHwAJ4+mzq37dwth/nnREmYL1Dc2R4X6y0Xh/AhgY7y4SD
dA5/BhvtHLWC6i/42oRyoU2cp3O0H+Ut+gkYb1EcGcKfwEGpDxKbhrpcBxL+6LXzVeAmwXkbjGy0
5QC/gaX9GG8PMAHkbZIjQ/lC6nf/zoN1uj6E1WWeQDCLUOen1bVT3+WcEJPCyStQ3uNnqyjgjczt
x3zfIBNw30d2ZNjfqwiOdPcH8KUgMwHmNpT0PftSO2ljMMjgLBbUc24h/gaW9qO9PcAEpLdJjgzl
0RI5gKKGzgacmQAxei7k297bEKy24CQWVPVuSfHJDO1HeJN8Ar6bBMeG7jqHcMhhDtPxEzyGqBl7
PlG1Hc4kFCr7mE3pePTmZTjz8i1MvYLyzhBTkN4hOjq01QO04HAP0KaEIpvbjv2cMN7ZzGCWO5iD
nt5bvXe5nsrXa2hv0E+CeoPiyHCGEwXvLqHNyiHST0/uNGNQsfXDW96jmwlxYOebW7r5TUztx3l3
iAlQ7xIdGdqX8iDVmWBbQ8uZX1t653zk6GYRBxqboO0SoIn87Md4420mwLvx/PEhW63V+gAmNrVP
bGYzRtFzPmonToJPbMuGjNV2ZymY78k8vYrw5gjTUN6kOTKkr1bFASpC4Cwk4ZC1gLTEk3+8Gw2D
ihAIhiEIjm6aYFP52Y/wBvUEdDeePzZk183qIK3hQPzahEEc7LlEc88ORhgOxZh8K2txNZmjV9Dd
pJ+C7ybFkSF8B/ruEPVcsHtNym3YwK/J6KeDj7YJ+Y3N3Tudo/0Ib9FPQHiL4sgQvlYriHEewG+i
cFYRjio69mut/6D/owWto+zt0OZ0jvYjvEU/AeEtiv8BhH/P4sYrj60f//1zD+3p2/n2tp1Q6WHb
cCD9h97dDn2MJ9Ix7GsM9fN7co7QEeBXr9EfgZF9PO1H9iXtxjv+eMXfT8r/XFPODxG0kdDR42E2
J3eQRelzNd5u4phBvR5DUPKx5QC9ian9KO4OsQfLjb+CNrS7REeG9ujKizUkHQ4R2IC6WouMXd5e
KfGBFm8mIghOTGzZU2/jaj/ee8bYQHd/x909VEeI+By070OkH+RvBDS4L29trMwchBgUSf8QwNsF
XZB+gKYi0DKIbm3ucc5/cTTFJHgd8N1hJmK+S3iEsJ/JVVkfKvUEiSeTAMBPnz2eE+FQ68f5D9dq
TyDzDcy9jv/2IBPR3yY7NuxlujpYQBOM7THo9fTZNspgyyOTOxbaEfCTOXoF6036KTBvUhwbwiBC
L+pIv7v+FuniELrcgrAWsSH6ATJ+/OxADVVgYNZBu9Y90v2NrL2C+SvvOAX8V0iPbxWM7bfTw/QE
A9sc6oKgove1jCQ+Ad2PITy21XkA9Ptb2HoV/Z1BpiG/Q3ZkqH+V6SE2PNyhwOBAHESyt85MgdUO
XzAMB5p/mo8/bsiYysh+gDeoJyC78fyRQfq8Y1Q9TDGH32inQyMCBkdW0c9jNTuVBaC0IQuJIEa2
ie/buNqP8p4xJmC9h+rYEI/W6iClvdBm3UZwFt35USaym69CJ/Al9HoEK+1Zr78sHLqbzNcreG/S
T8F6k+LYcK5WeaTTVX2I4l4GhfgI+sPYr526gUtR0Fjey7YKAOEGoTdw9QrSu2NMQXuX6tgQH+9P
OMQFGVAMSAmBtrzPAe8dOQ71BhB9A6d7W45P5ugVpDfpp6C8SXFkCN/XYHEfIlwORyQpGjtLvJ7z
IHy0uS2It7yU2tM52o/wFv0EhLcojgzhr/W3Q9SSjOW8GJr1QcHX02fnlCRcgQInJB2oGdrEdyo/
+9HdoJ6A7cbz/y+Qff16ul83/XmrajV7uiPwxQ11v//2aXLgbsMt0ueNtCc9+KugZ/n453so/6EW
skC0/oqSjwNtbMNx4n4Ct0mzhp4If76HywZHjcxN6J4+No6iY7vldv3rKygVg1p+Rimksxn8eg73
NoRwhSGkOimUoYyZMniEjQ3DtKyfvnLgXC1ctwIrikBgzqTOryscb2TaBzL/NSfPf36X19mNjPJK
w8AIvX9X/Hhu5BfeD0J7DEM9BJSnwn16GF63eFh9GE9gwxT8n7RSFepkh66rWH7xeW4t7IQa58So
CwG96opbS7bytM5NftUlvp5LGWG30uaZklYu2rwrRWRy60KpoRamkzRCt/aiaeu71OmKSzUYbtEg
U1TOA24S5JGsPaV27XuD3S6578wjViCviIJFrf1U5LzPXNaaH9tcnZpRmN+XQVC7QVE82K1zLuvi
o8Jm4ZoZjYQdlA9pzxNPajMXZduedkXXucEgw/wWTOYFjk3zxqD2uW+3fFa1yHez1vA9A6vaTdPy
pverFauDBz9z2jnpczQL+qJcOjnPRCmND1XqpDe8UlhkdshFSpUl/J4xz49s0w2MIRG539+Enalm
itNHHdm3oVVeOVUUiiJMvkSE3leSF54Rk3WRWN3MH4KPqslnUamXtW2EIhvwqV/yR4SSXMRheJrw
7jZH8aW2ydcsD87jgd/juGDCGiopFEH3BYuJGACEKiwqN/X93CWVtepr3bma6S9OWydCFxEWpWV7
rYlunNTEXuhHtxFvsDCy1mnP+h4pt8+L70gVZ8jOr5whOm96GSxprD/UNleis1AjBpVpl9mpiO3U
EKxIPTYknSgNoy4BMMKU4FWqk1NHqmwW5dq55qToF2nuENHY8RLnJb8MtFqTskGCDyy4NeoEiSGy
HjhpkquyJ99TafW2ULZEXhgTfpWGKnDzXCXCT6zAq6wsmedpXpwFibwOM1W4KHWuW0NWLhQVIBH0
8nuWmFRoLM9qRa4KWeRuTQclqshUAtcyF9gyFnHXmG6D67/sIvyUJEntqpq7JQlzbyAhzFsAk5vm
sRSOHj6xqBfYl9+ywF/UcEXdmZkbt9gpvpthP6vDblGXnePmia1cVCm6tNNyWdjZWVdZMzOg1z1O
rk1ady5PuS2QjD+j1v9oZYY+rRIu3dBgH1UVWMA2ufALooXh1LUoyywWNUIfsr46Q220KJP4QxQF
M7tOv7ZIfbO4ki5OsPZ63Vw5Kqk9ZbdKSJRfWg5MrmUaZ01KzYWN/Gxe8z7x8oBdoBI/OGSgnq76
zwUltWhwMS/0QIWshtLru2aZ+ANymxxdtWn7LYS5ntm08N3cjkohSfGF5sUll3pmO3Ieh1QLh/gP
FWrnTJWZMNK2dDsmpZvE9XnXJ6Xb8zRx8956rFrrsi1JJzInvih9RdyoyBI3IWQRh/ovJy7Psyz/
iJPhEzb0LfCXisG0BG/5pery1AOGvWBoWo/j5NIpu07UA/qgOf2rr3hxHZhh6kad0Z0ZSW8sZdYq
L2+iiyYp78zaWIdF8sGxc8stMjNzhEl9vfQZjDKo0DrNmDlTfll7MTXSZZaR2xiRXMAtCbZbYj0I
Q7LEzSQs4t5JG5cE7DqWOgX2ZOr5YZqILuhuY7D3hG+hB2fAsfukXp7134YEf5BFr6IgfL6H99cf
/3UvM/j36UrX//zleI3vf/60WMsxYqe3Hxp/59dT/7kWdtRrv+6I3dKWP+4CfkWV/vbL1/XsS5Vp
QenA71Tsy9qcHxbwk+J6ovqpZDE0XxxPvCK4d8iC5scw4C8lCxddjNWe4Dc7UFs0HrB4VrImRMHw
WKuPxoIiuNIIVPNPJTueo4MBId3tQPchaB/1FiWL4Tc2dSyH7nHQCsOGLBqFFCrEW1/q2Gqgsijr
urvKW8pnTeuHhZA0hrWUsLa5tQ2rPwOplCcz0AHV10qazcfE1KBaNc/Lzy9mb4/KH5urbHMDt7FB
ZxY4VwTXJI8x3pfcmHlfJDysmytS5vgqSIbcFzWTduh2Dagq0bRm/ZU1hREJlTlV6ZaxSgLhD5qZ
LhxtyB95VaFrGCOsPZKm+ONgGQ5e9Lblr3Fv4G7+e44JVGbucAyV99CggFsMOmyONswLG8WMWAjY
9tUV7awg8OxuSD82kJWk84r10hJN3+HYi5jviIHZfST6BNFF1qgee6qR1WPYaY3dyCgsEHuRbESV
haDYmLKSYBbIOLxJan6WaR5qDyx5/kmH5XmStqCuI23Yl5EKm2zx+7fahQFur0VwfxpclgUXbjy9
9IuXYr0RtEaR6qu88vknGTiYCDMhsDSKvO5u2k7xu8LH6Zff/+y41l7ae3CcDO5QZRRuBwDLk9CR
rRc/a6EuMAsd5Fc5SKcrnIT1Va6VGzl++On3vwTbZ+eXOBT/MOgbAeaqs7XOitzsh1KF8sopkLkq
W6nShV85PRFJEc5QWaeDS1HvSDemVpv9t0WzbdjCW5Kx558J0hkM7+2fB7M3CoM8i65YmVirLK6t
VZKOPFhDBqpLSSl6UMfhok3LlogykWxdpVwvW96bF51NFXJpG8vEjVmefaSqINQLnb5fF0ZTeMgY
MuZaXJrq1KI2GL+/n72xXfvW9IFjCGIDLmmAu8ohT7MJFLJrK7cs37jEtZ+tIlXpQGAjqXJT0L7P
g7M2jJJvgcOLi24ow7ktzS5yCW7Y94oNg3T7MGCuKeNmHSnKHhurCNnZ75k0rR2QqUlhEY1nzuH4
msXAjX25nGzlREiFFb2MzbLwueNVPBwWXdVRPq+aGmyrrkS3TdZbtQjDkLkK5wtNVLFIzYK4SVpm
H4rUyjrB0jb43MaZXPa6qkRhlcVHWyeO55e579YyjiMRVTRuhR/r/KotDH1dGgOdBQHmsTAGP89c
0oTZqWVX6QcSBzdBn9NOpDUrryq/vK9IZlDPbghMZNQTkA1mPQwCtWCLpKHlfPVRbZ6FtoMvhqBr
uNui0Mzg/oo+WhqO6jPR9s7g4dYyvCHuHgpdVnc1Mlgo2qxic1+X9dL0CbkvQ9wmC58ZOBJDmPjf
IOeqGhHlpfFXnbHMKwpNlonMiyUuefoYNYUN+55myV3E/Y6JpjSDM+WDl9LDPCywSfh12WbdzGxV
Oce4w80shcuSA7dpA6d0GxL6s0xT5dUFvw59I0AexrI6BVVDWhe8CVs4FUu/dBkKz4nixZ1FK2tR
89ggc21nw8qxpZpp1MXDvEmcYG50HVoRnbbfNXhfljuQCtUiD0gTzDtwFmFztO2sD5ramSvph15a
0ew0h0cFtA5SEiY6a5iIdRwbLvNbJpi0ukGYVeq7tDLybKHsZBaYdY9uW4pNL9IKgZMBK6ma06rl
etFR1l3YyTCk/m3dllWWiT5K+1w9hn5IyPBVt0bHslBwBaJcPpA+iyuq4L7Xui7QVZVUWdKd8agc
Fg2vK3+ZqSgqRExSeYeYQZdxT2nt1oCBL/oScTAEw8xxvNz3QR9WadKWMztpA+SqtML+dVgim8nT
pGdtCKZyyqsLW1cUVlTrS6xbtwZdOAevLvavG9g6duCWTuHAgqOJzsB/iRR4kSUoL3/WNZHtGj7U
Q1ui91Fuwt3bfpa5Ia9bf96mLM1m2gerYG7lQTa4zmCBxMxJYtZuFiojFY3uA32jIyPLZjKInO9G
3bAIeUiSahGZTu1cWYYf+Gc5ZRWzYjfvdDn0pxralKtwVgQhy2a+boZyzpXOo3mf2ll/irTOCtci
fRq5rLP6dKGiMjJcgJV8NgrwVz0oAE4yD/6HjOs0RoaGKc/zz3GW8WxJFbiDsySs7A9DXVE6jw1J
8HnYhprlgoUkrBa+aor8DpQxPYuDgSTzugAOZrJKg2Hm4G7grhP3RXuZOT0sbQO2ivJ8jOszRS0r
9QKfBrXHwLYvRMQ02Cf5ENNhnSZwOsRzgIHMo30WlkuMIvM0iFhiuyRJSupFMoLoQw1epTBaVfCb
2G9j06VRGQ8iK+LBOEd+as5x4YNbxkLOihnuw0Euwwi3wSzhZtiK8TmBecTBxywDCh5PGxmDqLrI
+EtBk9veEBHsI3KFhzwaIuE0pkHv+7Ql9ZVd8F56OS+rS6vOQSUFmoG7InhGYbb8KMT51wGneXhW
9lnazXVrgWeOq6C6N2NirazOz3zhYFi88zrvGJ1pe4iA+RrHmZfSMtGu0/qzCEfl17RtwbKIg7i5
05bdfitUSE8b1gb+zEksRETu+DCOlcq4m+eqwVdDV1DzVlcWvseVAU+0tqEdt8I962YNyeLoVHWE
tMucBZpcRwbjn3JUjoszjku9YKkO9U3Xm5XjorIFbMI2B8akBqF7DhqMf6IOgtWdgZRUHpyB7+Sy
0twnN7Gqk+QDgfiLuezMuK0vq64ajc+w726sxLC7mWwz+Gkph6ERHcmqYYESNr78yHoL8gn4KjJ8
ZVo5vEVdWjBVYSKTweVJA1unSIMkus0Vgy2varAKAvgOZCqp8vC6xGavckGLEAHcrerqy8wICy0i
BH7+vIOToXTWNyUZhQZsJhfeCARIx/FoJ1d59smHS7jOnCaKHOGEFvi+XR/YqzanwEan4v4DrTqk
zwMwc+NziFAk8Z0D2mKhc4SvSh6UX6Gg2i5FaIYROZNOwOtzP5RB4/WKlS0YuD1dFASm1UWs7B+S
NLFuulojeVqivkk+t3YW6NPMN7Lv/cBHGRKVaeiBH+DQWUT6UM8hPsE/G2NYIGuLoBTMBDHXqzb8
EMlKn/MsiS3PIooEIPbgPljRhIR/UrHRBLOU5LBNBsOnfGnmEpfrDARyfwbXWsDeaEeJPYstA2a0
a4ZmBkqmLc8h3EZs1+dp1YCmpeA/Q6Qg/kvxht8bPZjpZ8MYZHusdN5rkWHMmmXUEhiqy3A4uGYb
2MGyAFha10i4PR9k01SXXc/Su7jRpXCYPjWzrrFOh9YGcBIE7vqiSBMpL3O7My+MCplyFpZ51pwH
fVuErmPpLLwHS0Q/Ip6DGAHRqRuRhLrV4NA3TglaoC/v0qDE0RcsB+pAKAwssP5jUVGDw2DaV7OQ
GUlwZvgFREoCZDRuyrSdLCOO8G2nDX9YqLrU0SwaalikEalietMl6WBdZXaRpqKE6Kh9aeLQ7Nwe
rBs9a8MCUGudPAqEGlgGskPrdIY72imvSYmjFoNTwupPzC5gXu/3SLt+oe3yc2v1+D4OFaw10HT8
E6z1TN/kPMcgYEnB47mThXYruvorcerWwSJJGvbRInnZeq0VVOal6adO86H0NVeg3GFFz4qIAprg
OPTdRUSrRF4wVYT0hnQotZd+Jzm8V9cZwWWijKL1Mu2DzABrrK4u09QH/hVPgrkOnST02g6hZV+a
sO9722aRMP2QXT5ZpX93jOQyelBSy+/VdpDkZYzkX/+fR1L2ZCzGApDXMxa/Lk59GYP5keoYCX9G
VOBGQDgIO7ZEBycV/g+ct18RFbh/iENOi0LbXij2H8+6/0xbOCfW2A8S2pqA2PuR0fgZUYFDedCe
CooXxlvnoDbJfktEBWIxW97ReMZgPOIHkV2wfaFJyqbfkQdO06SNI68RSoPTAoKzYWA4QtH2vGZN
77Y10RddTeSCooEueFff5LEJDmeefVMmkZ6GAGzah9aMU9W7QWtTEZth6dahOYjYaIkXVg5Eu0t7
8Iy2y27KgH8OrUG5jaLU7dBwDnrzQlkmhL05iEsjXJR98dl3AukOpXM5qL6aMZk0p3VanQVZXMKG
tc4GJ8pEYLJLm5gfA6uoITrt3PKWQXhWRbcVUis4JpeDeAo+NZlViBbcWDDcWOMmzXBp5+xz54N+
x5R+4an8bHfNOU/wRcvSe8PKLiunLVwQ5R9z5SNhYDDJ/facDeaHPI/nODC+kghSJGUwr1DJXK2K
i4LJL8Sxr2gIMefQ6hZNB6kdWBQrSH9okXdpKAxWzSJ7CAXuUojCqs4Gm7XsZ46T17OmaXrwyrJr
1XZgTwT0VIYkEl1bQwS5qUUwtHhhJdU8tssPXdLErpXg3DXIcEN9+4FUxX1S93OQR5mgQX7Tmfa8
D7NlBOpd+Ezf2DX7GJZ+MCvM/osdafAEW6vw4Khg4qZ5JOc06rWXE7ao1HALgWI2x2F61uF0HQ4Z
qIeKfLRDhUGdEd+1Jb+OG0auUp+ddk5wV16Z4dKu49EVPLf7OHahngoSU40UZgmiuxriWUWrBkS5
8yW07UDUZQ45AhktcJbnIsnkQ8Js6cVVHwtS4nnqgGBGwayv+tOob2KRZfE3pega7v1atxIFp0Fp
Xo1KrWvKAAIRTTaL+9T8RC3IkUFQhAjmR67My7PMspephcFSDOfKCZI5Bidi1ncdgfiz3S+cupBM
5FZdzdrGuI2K9pEPSatcC0Wxi1S5GEpTC1aVZ6ZRErc0i1NuyxAi+X4Mxh9zPDgsfUqMIF9I1a3A
vL2PkPQanc1QhdwAli6sI/5Z0oa6YVk1d6WJy1nEg26WsLqHhQB+PR5qPKvSIhbUSj/wBsJ0xKcC
gjDLnNsXfqMhh5ao2EuDGPYFS+uZExd4TktJBLRJQnMjpamLQE+e9yS/9Y3wgQateVv52QdHmUiM
IZlloeFdwqoFO2CoZ9qUqQjQcC0l7JQ4g0A+DYsbn1kXYYYgrYhiU9gxTGBu/1VV+EzL28g0C6GU
c+M4mb/sbHnV+Wkrmqo940Q+mjotRNnHK0gQFDOW6MQzOiPxigHWR2uVEKQrIR0VDsaC9m48/EUC
+tioizheatnOIln2bunDMmgyf9WPRirpy0t/SLDIqXHXFeZpjkMDvM3wkxEk66SGLUNyCWu7sOaa
l8vMyCD1ClEXUPbpPQQ/vvNGtm7QwbqjKVuYMg9mJsR8hFEMlWiCMr8wSGdd4jy7N6KsvOoacCbA
3Y9njA++1w2N4da+L91AIQnGeHPZqMQR4I3FIuXRXahgNVtmgJcqjcOZ6QPi4GJAoK4fbqVf2AIP
FAudNYNb9MYHWqraQ/BLIhxKXxiNDSGGJPHnTV/Fniwr8zQEvBozPEvAIxc1LW8zk56nUt8hH937
ViQ9TJozH04XzugwdJHQUqn4uuiw+pJwS7czW+d27Oo6Pq/rJh7cqqEZmUetn3tlHOmvDg9C8+Ig
lsP/oE0A+vF1m+DfGVw7rPYYBED10iCArijEgr7QxIHG3i8MAihxANVuj92iKSYQyPyPPQCNjhBU
OI1tJyEgC1r8pz0AXVYwnCeD6DCocWhYyN5kDzylAF6GtaHpEpwbh9A2yHy4/3I8jfQyDikLa0is
3tfXKKX3Cawzoq3zzNS3SQciqR2XYoAgTIfN07jvYy8bl6s/Ltyqq32BygLcoL6tPXDcPyBzGNyw
YFi0ZmULPWDQy+PO5zBWzmQ4S0F0LXmgCCT50zs1bqQhl47Asrs0SthkWR4XbjtuPKOzfA/CL/Es
bYghVNWWVwh2KnQasi5ZM+QXMSGVkDYpReDrYEbGPa55ACED2PZ2GAZiUPl9mDvUS0fZgJReliAs
fKcKZjoB756Z2RpiwJ8gfmaIlFinEkQNFCdg4Zf6chil0GAF38Awi6EioO5dBaIqV8sYX+BRfIUr
Rd2KB6dS+oHXNjXEw0d5x/ok9fK0Szwy6GJWgFhsB1mIrlKPNQhMXBWt4AheSDX+UoNQ7Q1WiD6f
GcNFDfK2M52/LJC/chTEvLeQx0E2q0DdRKOwNhsHMmEdvob0+SjI6xl2EEBCmRZVEOglGwU/RMU+
kFEVcNAJHegGnTvgFI/q4v+ydybNkdvKFv5FvAGCE7jlUJOk0thqSRuG1C0R4ASSAEiCv/4dqm/b
bftdR3jv8MYdUkmlqmIi8+R3DoXL3R3djhAVTThMwtHkfSF13mxHTVHPbjISdklxClkj/CQYeVax
Dk2Iwmm/HVmDBxmfKWtxCEFfDTFU5+V2yJWaeGmBc690ZJVI0e8HUp1UHT348frqbsdla+tEE51X
E48zubEDPXS1pMcJO5OJpiHOXGToK7x/wz722iqtC7cjN72vu3tWoP1io0p68AyrP34TAG2OdHJu
8AF/jaUA6lGV3YnX7tM4TFcjdMHMYT4WXbP3jt7qfYqs3Sm94LxSrDhAqntrcYkmEk8lrUVYo1qa
+4CW6qJl5DRV1XO/xhfr4K5pIPlezs7lYG2fKIJ2R5eFm8i6mJNRqbOuVlw+0wMvi7eBR+zQeRBH
K6e9L1aPQ3gxXwcvOtaDLg8skCdhcRJLG7Y7prpjWAZfRk74adJdmNTVeo+fOV8OUzBBK5Ey1yV4
iU9dbBohcLqAUnbeggOVhEWYuYX/VckKrfYKFEKprjspCoRicaIo4RYUQqMana6Lkk8lKcpDx/l4
U4VBnMzekC2ddXfMtI/gHKqk1BxSRIXji0qBN6jv8qKp0DuIWuBq1/SoxNYNVSHPRmqOZGXkODB+
jNyi2Yd4LskQejZBWdQJwzitKr0mcugOvh4OlRNmlcQxXFW6grbkuLjSfJ1CNlsS6/Moi0uVad+F
8In/cfzgpirjRKrpi7tUF8FoTtKz59gf76cIrfKq2j13CmBFbbEmXe2ep8V8ERtrhWnlpvXNbV3O
j6xerlS7PqkC6kyNtW3SyuoRq42Tv5CDVepBs5Akg+lIQqT0krhZLms15BEZ5a61aOvpuFwVo3db
d7bJl9nNI9qfqDFdYpX58IPiRZTuNfZHZ6y7boYqGlI2qbeiCMBc1OtTw5WHXoixHNrei2ojzPzo
BBNN+wfJ/YvF6WU+NfjUYL9p60fPVMFB+GGHaWw79rmEMr81Av8e4QTUAMbqvz3CG+Ae31//fIb/
eNhvZzjSGLa8UQalHuRghJP6t6Eet1KKQDwQz/vzIY7QYVh8kdrh+9vcvp3vPw9x5FoGIBBxAz3Y
Bv2Y0n9yiEPF+/NQH4HDCBGEGWGTgDuL/GmoZ0s5xIZxc10J3Z9YE/tXY7dcsK4Z0sCMj2HbovfT
9aGTUbO+c6kG59agdNthFSm2Bs1tzPsu0bW91aV/kqqVu6HBuOiuFuv+2nX2opn8xO/5rqwnfsRO
CRNOj2scql/J03gaul0LxM3c27J/jrmViYODGuPTgmmqp2DupsVZT0HfLbxILbPiZJo6s7RwDtoZ
P8q4W0EakGJvXYmdp1vHx8aU02MPzvuCoipfMfBTe1fc9wbDSs5aS3a9y0Q2jQ7JoinuMukB0Goa
gckgRCMwuvFFHY06H0o3DTTVu2DpzyzgUzJ5Mt5NzbokTqGxKeDdfBhndXaVilPdDc/jXF5ad845
sRlV9Ir45cW8alynFbQHAYUzqRiDXqJMDpaPogdxMJ8BSfsoZhm+2LWait0QDBw4moMtFFfuIR7N
Ha+9e1aRzgB3446+FaD8DlhWpt3Aw8MQWNXdh5oAIuSmiKbEiwp/77kzhuGgCD7qwsxHnBpmbzA6
ZGvb3dhKnUO/P3UNPw+EXjDt7KSaT04bZnKFgjh0CcEkEIj++9zRO6Hj53+LB4pHAPb874tHL7r3
P9eOH4/6WTuQvoT0Bw8O8C0/DzXil9oBrTACdxUEP0AqFKrfB4AYKysPiUABXAyfiPPP2sFwdyjc
HSjCfcxj5N5CYfzJmN38aOz/jmNGxsifawejFDCNh+08nqe7qZK/DgDlGM1V5bHm2nGH51JobEpM
8+ba4NhAowG6ukLrMnkUtAmZot3qlZexHc4za7FdmluM3QLsoimddIwM3ZUB2RHp3c9iojmLpEmn
0l4SXWShgwZYuPpRMNqnjdtcAvht0skZD02tXttwgTzk+t8LKlTaO22ZlsFysbDpe21cnKE1LkRU
4Ty0U5C4tltzYpwmG9tgySDK6zQysUl9S8JUy87uOmlvqA2CjJbNhVkCL4Es/+QBsciwLfkuSXgC
fdNnw9L1STmpOmlLLwk4iJQuim/W2P06gTnGVS5qIBjOnDSRxj/DSqRr2VNIU2UBtenolXpnI1mA
PUXFpPPyuPLySkfdRV/0Fxx/Exo8MSYtpXezqLMJylBed/SqcOlDYRuNOmRatNEe+Co1AeGoocj6
vndoPSvSgvVfWTA6aUhsaco0mAZR3mta9S9YEj7a1Z8vNFPXvafVvnFnkADD+LKU2AR19b7t5zDx
TQBFbkZNNl5BE16wK17SR29AJ2LEfO0gmzUH0LtmNFjLfI2xhCvH2Nk70tx5Dv8eNIXcYyGZulgz
XsjwVS+v2MXu/D58VdaTezOSfWMwhI393MrH2OXdfUOavn4X5fp9Xvjd6qHhjz41t3rkjL2ObnUu
8Pk+Et2Rw6KpvKZjEV/7baFONi5SP0ZlnaPwoEfIQoQTkXI/tmevWrH/EGBU90A5vs7dnEWi5Vfe
It+x3qEHIst4ABHN+Jr8W+c+65wHdPB/6xwwGSMKa+xex+9I7/9rvdse/Vu925DSzWCBZtQLsOb4
vd652GXAP705Mf1o2/j+Xu8CfAWtEkAoZPT/0bfh/YeBXdwKXoiQBeQE/6N6R7de6FfBY7vXuBeg
9YDgQsDy/alXipfA6XHbRH52ABlkwdTqnK0W/PlkhxesKEAr6UGPYxJiJI9SYJ6ofMU8qOqLreoq
j9dwIudupH7WDX25kCSMyHS7zEzaV1zrLiblcoEKQJOlmSqKIRMmFm/JwLoVWGVE7rAegUqOpdrr
3mn4PdMoumOgN1XZiUiYrOVaPbSymb74Gkx92qD03XOXYSNIq4rv+r7JVxAf6mA59q9NYKLHzp0c
k9hKo2FqYwY9N+hXm/odeIjUQQeQ1l7Pbrx66p+9dqienaAPDriBJEqaOzXFdUTckiUNq8TVqgYG
VKZYUYOZCIs0lvTYlaRNW68yVwC32nMUdtNdS0OegzygfiqAlByMUwSpaQb2Qrt2ATigY7km02hC
YGpMBFFauU1057hMrumqW3Foxmj91lLgZbz00fmklgzBSIHdB1VfgDM3tTyyydP7YMQbojIw6tOz
FqPr5vVUTLlfuYZ3eRXzYg3zlWJ3Dh1lhjYaH+KS4dtsP5b7iOj1Vo1T9eLFnbqNIxXtqgb4JSZi
nz9gnX+OPdXPN9LBq3nTOeUESwvggDYtC2mGI6fACa+ZoNVz3Sj6sMQG3WkSmhoqWUdEcyBepyOY
EPqiOg7uWC2nNhL+/B7OrHzHWR7twfQUu0ZwCetPTHmCVZpNWmeMspoJ9cQ9tx+B5jlxGmIw/rdy
/ejQ0LD878oFfEr/fw0aHvSzYG1GMwxioJ7JZhoOfylYW0jTpovG+M8Daoze6b8N2nb7c7gTgW/+
UGFD9G4/GzRkJaOOYSILAjjE4GH7JwULy+E/FSyUxO3ONAzPDpMkmNw/NmhTvyhwbNy7VotPoN1M
x9n6Q+ZWnoczbthJD16UEaaU6NOdUvrfRo9d6s23EmyoSrVgftAjv9DYnyUdbC5ORcaErb3JFlhg
ljFUmb+5YqQ0bzbunjnsMuCn7mq/2new0VCP3g09JNxqsCaJMcxhsqKXXQsSrIQNR21+nCZuNSCS
4ssKq04AQg5y2rqk4dJeB7DzuHOYx4M8RbD51MHqHdepGFOUDpZOMAOhzOZ0Mwf1/M7MZXDqsJmG
zeONwUYUw060YCRNaordigcaLQn9tss2bw08eCaNYEiaYUyqN4cSr/mBbp6lXsFg1XIPPibIaTDM
eOe6HU7N5nWax/FjmLibLJsPaoUhSrRwRs3lcF0FU39aWg3yQ0DUjVpZA26BpyomZXFWnz6r2Kxh
MvjrB9tcWJMffVsFXty+aPktBVeScJi2OIa4q0o2xyB2oPFszi6+ebyUWFos8ma8a1iaJ2Opy7Ru
lxmsWccTKG7hXkxohsMRWI6/wPRFSs/dr31VJkMpGmjkHjZa8ywT0XplTmxTHTxvaXJHiM0PtPHh
K2jncMF6HSoWoKbCzdzFokfzldj5pC92/uw1+dhqutfSa/POqy4xiF6surquO/eobblmomUfxQoE
topaP3eU8DJrbJW7RWT3tSmbnFSc4YVwLSbfId7rCru2ahnNPqZggtpyBPANmu4OfRzbmz7gOe6l
Vx0IKYoMIAJMZ57n3DYI14KdD3/psIRhIoAv7Fjp6LSyM0tgrOtzB4weoJtanAIoovuS8gdL1Y0x
pMu5wyxMWP2bbBSIMx6CCx1i/9TH6G9Ld/M1rNtLJGj3Mqug+tIBSEwUj7uDNTBx0KWUSVN07nXA
sDTg/VoAzInwGo+OObAZ3Saffew4IiO+162IME1HRT6VrXMgutqZoMlhJYSICjQpaeNuTICwtgk0
Z5M41cyysW+bNJyq8HZ14XNazF04t3WuaOWKtKHNGUizPoB6+9Dd+qbdie907xosGZvxSoBgSr0l
zJpxCI+hnYvL0ImmPSs6/w5+00cRS+1kRJsFNAddXDcRpv8241lFqwMbIK+aRDE+7B1hH1xndncL
L8OUTPGpwxGez7N1k3gy0FtwIPWA4EHwljAkds7J8clBeN6XCeptCqXnAb3DKaq6mzlSqeNEVyp4
KSJ6YWQ4PWHr8T6H+nLxHSfp0OBnMFTOlwYL00Mc6yoRI2apsiaXFL+N9/ximvyPAY0Y1uDNFZmJ
m0xx9LgywPqiWhnmofY7jJkYNdv2KCt7C3vTpQkE6HI+eVnXMrmvhQuiceJBtli5JJOA2D3i2zuF
OTNSXrCzFm+hO7TXxinvm6V4IdI89z7KAyP9lEX1eCFm93WpwxB7IQ9wuJLlzjUu1CYPDgeYVKdK
YV20ArRo1HSl2PzVhNjKRI5/Ey8RS2QbdUcWBPhOTbC5rWFz67W8MBU5AAzr0skvdhWRw7WItU0q
wL+Js8SZXsZ3VYR1EkwCTjgaPkPgaYNcdstVR/U36UfHzgRP4MGCo2jdpBrXN1DsYLXlcsAf3ew4
BV/eumvWhNGZV6gysXQgU89pHTsymaR7cIbwYOchq6gAkyDmW1ifLxuqsKgRzZtm8SHqvLNb9nvH
H/YlGG28p+nSuPh38MqZEKkS5kOJ6AamD51P0h516/PcROgu/foWXK2DswDmYM9ecN3ctrGTuYI/
NDAK8bA7RKbpMtOKh0boFFDjCP+vipLWrocCvgHRpIyoBb4tmkJEeS9MZxOcY47dK0YVw9qrbtIy
7O6IGMf8397oR2/0t1MdDBhGvf51miO/THNbolkcEPhz4XtD0UIH9IvyjYUxYbjZceB/atg/myO4
8DG340tYLQdsC779vTmCCx9aEyRzcJw/Br1/oF7Rzer/h2kOzRFxmY9UbDwF9nlnkV/Vq2UuSsDN
hX9dr31kj2soW+9t4p4urgHOem2LZsehB1Zsn1PD761f+kkNsRTQkyEwKIcigY+pzk2s/UwFLTmQ
uUbdWjx0J5N8de1apig4r+uglqz1YHQbVXjRtCW45aK6qQbQomWh875VfjIxEKvMrqiZMboqCFcF
TB3w9s9OO+V81E3GQ31huj5O3Eh8ndzwVnjdPmzaMZULLLfrXgwYByfSEuz/5O2KpZUM5RH4TpCI
RgLG1w56ETC0qKbra1yNt2E4kINBJce2it5Qopsr469yB0y9y2jRSDhEhg+vKF9NBZ2sdaJc23cg
Z0EGl0w+OV6ZNW13tVD/a9+V2GuChTv4Cr6g0QMVV/cuTzwJUWpl8Zi603LhraLK6bi+G1bsjJwu
3HjeuxGE9F7ulafyEUYWnG4TTpK+TsfJe9e4tOsZyzl4ztGpXna49NcA9hZTFtC6I51OKA9sqxNN
0x9aFI5FVg8NConW3W0/kguOAgMuFnR10N5OeEvNVoPIIsZurzFV7ljYn9ygfevUZmeOikuccZfw
OnSpj/M9PEGgHW/dBf3PSzU2Jc2VJ8vu1lm17feti5pTkpo8QbuPZRJO9TcaeDgsxxkAsvkWK76L
aFymM8OXhZnf0fmotFJLnLTTctCWn/2uYDm4R7sbNP+YHRS6itnnkMQPel1u3cl9gSPuROT6LKYK
k16gvDwq/e+CLqeZlPal4UOdYI8DD5oHnHGC/ykgWJgG4y1A8EM0MucSzqwHK/BnYeEC+qFk18Wi
sMnhKxaQQWa4xoFSh4huCC05rNGHW0kftgb9OGkw7W3v06yBx6IuY28fOAKWKZjPejeAnDqNqSP5
t7Ie1rQxdt2xGUhGZcs9ddSzQKiFxGWTdqxbEnhM0C+oFXtpiKgu+O1l9gts5x0kRDhPoyansPdc
nDvVl6DgJRwqNAKXgK0wLG8gsg9NVEfY98tTB3Yp4fDPmIEFCQ/rD8X1Nezmr5NCw9NgI13b6ow9
/UXvYYEDGPGig9knoZ43pRXWuSNHdgQEkHk/LAC5NebphMbI/63Z8xrJvG2CI1Hlswcl5H51QsCZ
HEIJsI8vkcPvF0AmJJ6fBu6LY8/j47oMF0XJ+otCqqcQvRXsofdOGB65x66dWN1yEr73/npu2/FQ
S3w219CuWe92JoNX7m6a0JvAXlAasR8rHuf1EiNJYVrCFzUpKAqVuSvYxGFva3bo/y9Crep/j7Yf
zHXwt2P/j8ylvx5t26N+zv1QI5HDgo2BhyiwGLd//f1o23Y2kYc0V3STuDK3U+/nYib8D4ZwHDqb
NR73UtkkgZ9zf/CfzfC+3cUu8j0kw/yjxQzA2D8dbfjFG++N5wDRkMUk+OPcXxYDgetCmvMKXjZZ
hHkZ7cwxA0FlIlMDW0vzNXABu1pZwGjN5ixwZ5WO3XTTKnmMYnRkChALOvsB1LbAJqK6stE6A2AV
9zDMf5/IVONa38yGztymxUyv5IplTkFgv2tVf90t5Ou8hi/Y3j7FQ2nhzIn9XdGg34ydddegzc+H
mXM0myC+S2dMRF89Bqx76a38MsGIg7FM9WkRho/joI/d0n3VsfO16NAkhtG154mrqeaXWooXJVkL
WSy6gU/tWwPpLm/xhyXw0oV7SpFM4spnbHwtFD8PGIm2dTo084HF8xdL+zEv9bzz/VXj1PHm1J8x
J2ON8n3gU5CxJrxUunmYu7VOWRnkQc3upIi/Dyq+EcFiwR7bMiEbYVvMM4zX0xNCZb4VWj4XA71W
svsGZSaGXjGWucEwe1BRe1P28UFwlfhV+dJQPeV9w/psDusmmXv5bXbjq9qxOmthEUp66q2Z9dt4
JwaU2NiNLnG5nwa/uOzKJltFP+6snHdknE9lHB9KGtzZdfoQfvUeteODh6Sfwluf2nJtMxLhSeJN
iskYJPMcxSkl4OTpMoS34aSueLx8NDjDssIhewl0NDVjBYMQoV/9MrjztS0yrLUe/JJ+oBmfjlZs
Dw+M2UFyfWox9ioJRz3U+B08oZhMjK72Ydg8S7+qd7Q3Z8oDkogah/Dg6iAhvpOEa70jEXQiREfs
cfxJjHr9lMBRanMIDXNKEapj/G2kWtkOOLraF6q/EAVUmRXnfTZWOBmCeb2LmmA/d8HODP6Q+ivy
CeA9GxOiFxfClQIMbfCJC6LZgbsTH2Kr8B62tIeRalzvZYkz03RsVxbTDt7k+5V5JzHXXhLRpksU
gPisBImYTKb+puXyBMuQTqKwfyOuxGAiCxgBQNnNRBzCAZs36fAD6Zwqc6K6SwmRexyrexgkTaqI
Ex80n23iTewdZoVLtiAnoVdVj2AjDaLLgh8wyC0q2+WLHIJTQUdQu/BZJqGn35SJEcgzuljSrf16
0y4hvfC7usuwsIzLY0Nj7mV1PX+lrB6nfHQUF494GQp9TXVUAvcVaFHCoiXdA2YsLTNf98ikiUeY
CVPsDKIbp+AivLGD4DfesJTPEAdy1eAjlPjcL849NJNKhwbOxyUhQXngUVzew7DrpGUcLLdAI09F
OQgvh5fCCxLDmjVbWKiGo4lIAR1MLBq9B/FgHcUyMMUK8lbKcBn2pPLoUz0TIq4QQGRQZxruZksY
fSOlMaD6Qju262YBjte8gMsDdLygUflAYLlWz7SYyiLjHtKFsoG0YfFSB4L7V4SOLXBNeFP69N9J
8Md+D8jQ/1bJt/3ef2/08Nczc0u6+Hlmwt2EwuTC2ITUXAxd+NJv4+CWyBcG2OthleHj8Pr9zASx
gCdBcaK6BA3zpnD/PDMBQjEwB58/DFBD8I+k8s/QhF93exg2oRSGEF428xUI6T8emdDQAcfCiHpt
gda7fUIBDvCk61gFlwrvroWPSBIe8XMYjHvsi4LbwdYx9m3kziv8u3o075IAaF4Wfqym6YJH7m7y
zCVillJnWk9N516yzkXc1Tat+Mub7b1L0tgm8Ux7pj7bFUiKUhz4jXVuw4p/iWz3NVh0Cmj1nfnw
WbnYsdnuWBuZcceByMu9I1THR5ztEFLILSS0s7FgmmJyxvWmMT7Cyc9W7L/cdBbll2AQiYO/KG/G
+S0W+qqI6x0CtF68stlPWp+6ItxpL76Y/OFccH6O5bKLV4Su8f5sKGwmckAkFP0a+cGBu+45Bgfm
AKWtsI+XjptPJs4GtWYIenmOhbpBWs1VOdt0kmwPETT3mvA80h527g81xjRv4TZOuTGworLXLa5A
hP7XqpqOjoqzKVB3vFz3TgV0vF+TsB/vrYJXtVjEdRlEBwT5YJURfoGp9LBadYfgnLeOLmeHdWde
DJdTiFyK1Zza0R7gB0WX0X9EVX/GejdfixjwhX8XcbDTzOkPYC66xG/mq9pEMJnb4WIo6ldP+ndx
H6Yc0NYWagEVUF+WtM1WMBLj2iH5zbmr4gWO9+LRb+0XDEV52G0hcFygLC0+iAkypFE7XAnWzLtw
HpbbxiKLT4rwFeDZuO+HZc/6AIF7S/+V0h7pdPPy1gWfFNpYkiFXNp5R5BQbq0MVd/yoP40bIOZh
4qg+8U4gvWIXuzPe/UUdA0fi7Ebay7ZTvKuhb586rARSNdQQMxvXu1qCdcomCza9WYRMYni4M7QI
1R116b6mRCUBKOOqQ9YZlBrwpgIAc0ch72JEQTHugWxrRqrURLN/QGICUn5Cey98O2xxJEtSIK1g
hyiCPkUOE+zspfrCMNPldQj3UtXQW8Fsj0iPjxnDHVpC+uAg0EyCt2fWv15psPNHhNSpes7qedpm
8Hex+les0l+dGY+7Gg26JnyvSYceyXuIfchFK2+pbB9no0XWTwpGNsQvpiv366zq/bcS3lqQ/BjV
ESNiMoV8RTFOZRIt1ffYMdB/fdOm08SHDMuld/RoL52lX4IgfMfzB74n4fq11oMZr0fPx1uvz4Ku
whxbFyKZevfQN2PmMXGNSJQTa+dHf7EfOOlOVcxOvuRitzgmR/7Yo1hpHrfNcLbgA3btBLsfNU54
JZvivuuxSSjjWuV0E6qN72FP7HZPc7XiVR7a745kMiELctYixO3sqno5Fk6zr0gs0nidnpHFCFxb
L9eCRG98Wt4WH6LvuADlRFYToiDR10a8OZQYttG+0h3rsfcZPLovJH3SA7YUKFPpoCAblwY5E6F4
sqWHH+7430QxIIUirhKEe7w5ZswUDW26FCSDbeqrVw4ToueA30MjS31gP55xaOrrEZz12D/w2UML
CjtIvoR435eiePK2maDoiwifL2831M6QxPGMS1TUFntFXJbjzBSenveBJhROyQIwtwkwMNRixt5k
OAqxhnhu06kHy7S06PYsSCzWeseZkzMH19ARctIzW5PGieNEOICCDAGdzcn9XOqLoOMPSFog2KCF
sIRWE/YvM2JrFudSGAYXma3B1vtQ0do+yppPVpXzutsB+wTB6kjArNOGtTqwJRx9LXZ8Q147wpw9
2TBYJD6KpNvQWPhjYWiwt9D8gKdv+CyyscS/vch/7dKYZP93LwJvpv6M+1f6/9Om8djfmhF0HJ7v
emgo3C0g9pcBfruhmo9RHOPz5pHatvM/B3j2H8z8FBt6YI8k+IM2Hf0Hm/YgAEr9w3YV/5NuBJlZ
fxrgwQBs5qpte49n8GkF/1WbjttojTs4N66bSSBmKB0HSU7N4vqnDjvyKq3CFkhRibUSPqIM101W
BS2kYnx8eedAnNbVw4IPds2W+wkfdFug0vc8xIWzXQUILkFCj36cW3uOcJkEIoTNsZDJsMGAywLl
zYTpsl1aK3yaLdp8qOUxfMHxsocV+8NjpU7nTzh4u0oRV0DzcbtyV+bvTFUxFOxt0lf82W7XuWp8
m2N5hWsfRcAPYTFBNCSFJxkFokfypZ114m+1Y0QRaWI301tVGZXKAjG/AZVJqq3uBG70DbYIkU4o
SSHSQEBQhUcPaaBmq1rIvHkKS3/Pon6FJuHt+FbhPPQHGFSDDG3IQW1V0G71EIvyN8gEby0KJdkq
JtzSz2Kroa1f72sUVWx0u5271dlxwjaMlf33kvjYFaIY9zJAP7TVZ8y372FB1zMu61fRB8UFNH+E
bgW0TbArzdFxuXcUQEHmI7IpFVu4h4Tuu5/n+sINhgm2SsBjWMqNeofosHT1IwFDaCR3jfVI2iDB
KWcc7s4yXoFh0k5dWcKWrIbeumNwSWVF49hU49OcjKrm2OUjVsoSUeQdUeICzuJmD7FD39NgWh/h
kOOZJIhiqTHKXcE/BDR3rutnOcLLgg1o+AQfcnunRne44SEVR+aOy+UQF3DH2kaeEJWCau74fnVZ
zF2/JQUtl2ZcG+TjtqR4W5hwGKItnOHYUXJby9jNOZ/7L8Tihd8XjIYvThWXHz6DI7ndAPhZW5PX
YOJtC0seBmBEpG7AvBqRwQOCXkMcXUDUDyDrFQh7sqH2zmDO4wbfFxuGD5IOJpkNzY82SN8Hre9v
2P7QEqTJbSA/iH5ETJVJvUH+3Yb7hxv4v/q1m8nNDBBttgD56RCAzBV5n5YBmAfkZiMAszA9xgiq
OoZYjiV8sxug0wTiDAfCslkRkGOE4RbmhH8Hy8/B0v1bQB5bJ0AX3/Vfp8rtcb8Vcg9Ro8jzxlow
3IRYFNLfpkqkkAK0AklKUOo/B86fBNbmycHqkYDbQhUHzfnbVAk4C7dbQ/jf9lMJvucfFfJNZ/11
qETUp4f7ejHE9OFTjIL+x6FSGyzOkcA23xhyKlG17Z1U+19OuJsfP+zXNHHcYegPvwR/BSUYnXE/
CuQYhD/uWvDrWeE6o1dVtepvvDmu0Lj7gQLlxD3aeTecwMaYDVBU6tsVEwc7b4GAT2MZ0foWNxW2
KcfcS3FJ96lCItTAkTdTNMgeFui/XIukXw8db3NTIH/v/9g7s93IsXNLv0q/AA3Owy2DwZikUGge
boiUUklycx43yafvj6qTPpkunzLc3TcN+MKAgVIqQkEG9z+s9a28UuAEeigCqvterUEoJNp2aZy7
Ke32mFp43BXgrNJeCyyzOcKluVHc7D2fs28Kmp2hrg9oF15AM1CTp8lN3HdbV88PTgJNSJvaH+3g
wA9KZZA3psMyk9peKbTch2e0b0Z2gYMjHvFFNkbHpr98iW31AEeI57BWH9Hif+bQRGkPTb+ei8+o
xhPsFjU+X3VCadS1ISuvq6inbXRLHrit1HGPOur71JVHw1SKQDPLh1GLmbPpj+2U5L6e9s9ZMXeb
ZJYfnW0eZ7Mtw0bU12UyAURuHIMDCuVqVLX3bYp6xzFxwsazcV3EZbvpO+M2l6z9lnF4UYTBgxbA
kqU7KHz0/gcGP8QLqV7BPKkuZWWeHNmaEDdo1POsEXsbdKgP+ijeTGKAX16jCdZGN8NNtTxrcBsN
LqdfDcqdJZWSMSaD6sJbKfLZq9K0JpaC+oBQV5zzXmqAr7Mj43zszFpj+pobX8X9hyGq0OO4TwtJ
oT41Hdjs8jla0MNFjYsxKtaOrUuh34/ObnGsjzpFcCbn9jQ45ocL0SlA+fuDceG4iU1gjU3vPcSN
/cNMJSyy9DNtLLnROrFPdATOGod1FReXUe/eNSGg/Jk9Z3RWHvIUvp059mHqAgIcDI5Cs+vl1lRU
b2OVw2XwlMeRhmSj5D2btKTdamZyH099E1QOxPoyMra5icZjjB1Uzlw/zxX3Ojs+fGfofLzxOVMX
RGKz/UMI783SshXNQNdhwNnHzZVk12WRt5tYpPWG58pjDIyqNK0aR7BxE+dA6JMKEJ02TW+jAD1d
ywamhuTzcJzlNbOjBxTecChE+WkiWwzHVn3M4vyxS6E9TMpqOIv768JRfvSK+4r2DFRGlmwcQ+vw
0H7NMh2ECDrokzk71Dp3/1aabRPtaz4ND2NJ82DFcvGR/XCXg/h+zEDOHqxlEhfbkA9No++Vpf6k
uzikWZ0DTKm/A0prGFIjzRx6Nw0ziYygTcWzafYIf6J809lPpbeddnMyi6ti9dooyl07CA/8psgb
ZvgFO/kRUoviTFXQenW16XLL8hfu39iod1NlXKMyIEagxfmBvKvmu7lyQc5d5bwkrvWZqqCVedw1
DKu1sMhrtJvzCXfkN2UaTrJPga4Mr/Fg0pktxl1balv8/neVRhOnKXfIsHABxU96Zr92rsV5rZ48
Ga++7cuMgWPpeqYNGbyz+fswwmlMHBFkXZ9tURdtMiYQTtfiGHatsK3Hs8NOt21YtiD2DpLUYrHl
4ekW0IciRbmZ+/apSL1sG+ndZ4eZWW+mZ6X7tAbuxNF2QsNE1riJWCIXvhdJtulimNloqePsPDnx
OO2aBtC6iCHGWG7d1+fMMF6KyoRGsuAIHpHEb3LBc8vPKrNmAYGuddfPVbtxcwRnrlE8ZU0XQi54
kTJ/wnT5qhatcasO1nLhwGvCNm++Nbp2SFrj+xS5N0Amz/Du41XYllLLQoxkW+TSkuZpWCyF9wB9
fb6Oi+Q+jeN3wd5tI7MhP7XL7CBB6RF0lSqy/z55LXWuokwe0rQSgWcox2HsXtiiLfeuYhRhpNAQ
1Lw/BHOcPUD+eAZgqLKDbqiXGwWI04MtjDmYGVxt4zW1gm959xx53cCOwWEsVw5u0OR9YNrjuB+1
Xu7YbcA3LaqZ7Y2abMYcnUvcZylf9tTaS3qCfZeNAAn7O2T3m8bWdmI0R79SImz8jEgWW3uoreql
1ab7GMn/wTOHlwpMPI3FEp3/+thlWv3Lyf516LqeiWfaZo/rQOD6/WS386Em2bUZLpXLHkW7Ee6D
zbu2aHqE+fzXr/V7FbG+loaPD2cMUiqHGToaq18P+K6rcDjJTl7ciJHiUzOHifL0f/cS61v4hVCN
jCnP5ZDLS80XE/OKn4xvZn3/f/AiLKax79jUWGvV9euLdAk9lSilvBjtQ1NdTQou98Nfv8SfLwsf
1S8v8Q+C934A3qiZk7yY7n3RhAsOHaqQ0vkm5n/xSizr/+EG+P2V1nfyyyeWsxsubJhIl2ZefK1k
RKwfh+JajtuxYCP5X+4xsHdk5fyTMm994/9dSf5xDwD2xvmN6gBl3Pp2fnk5vDzT0vaaREP5ovVY
YuyHODnNxcvX5/f/GuP3/yGMhw/0fx4cBZ/5/zrTXn/+udlQ+Ye/NBsMGDwVbOcfdv7fmg2i2HW+
oT+dtT+nRmvkgapyBb+CX1V9Nbz91wrL1P4GdJUQIJwjBhOnf8/L//tjgr0VtT9qFGgDyE7MP/qE
X2+RaBBdvpQ6deS0V7P0yomzjTHO218+mX9yJ/IY+/O9yJpOxemG9UiHeP37vQjnOmPtlMkLg/Hs
0INVNbdfe5YUl1mlxxmMXwcJb1/dePNw1WT1o6O3UGC7ftpIaNHbrNWy09haXkC/DvJ97llMWXQU
kWxfZFfXm8JNEPatLo2ky+8J8XE3ep1fKjVFBuWUnJCN3gQudNSNgcEAB4B7agoSX/CnbNhaLAHJ
SzgbmNFG9hjqptUHA+VT0JGiUzvms+I61xwQns+f+ZKYebUZJ+seAtidUrBCUqxzn6ojdDpUz6Qk
HOCmnmVUxMwrtEekXTmSj3EM9FU4Noz9LfjVUJrDs+cSuRM7b3Exv7YrB499EqrEOb1YbXSynSIN
sSvubS9qd13ScoXa9rGy433qmvEmT5ITrqD3UiZZOBZqHdgjPt68mkgzGlarASSyUOuXN60o1kmR
uDFdhkBzDli5NoLGzt4GR3tsu/i6morBr7T5zmmGHZPLPeg7BT8LTGxpkuTEMgTHi27dK3Odb4q+
cTeO9+b1IOiwHA4NE7FuMDOfWztw6b+5fmIHfO6HO+NVVm3rWhkHZHEldho6zI3mzGedfd40o2aV
iUahqeUXOLgiNAy5WwrzOo6j2O81c+ehH6LyztDR2dYY1A2bFhwrGI/uqnKZA2PpnlKblVMME9U3
+vy+k8NBs7IxaA31g70pGxI5P+VpakEsX270CehNlzC5b5f2u5br33WZIxqdtH2VeweoWBoKUrnD
d3RbALgnK8e+cgw2eHZefiyifkkcRA+FXT2g3RSB2TjZXg7GDrPNRsd7h60AOiu3GEsLUyZbbUqa
bwQWxW24uEo/byx7IvBInbKUcb+ORXMP4bcM0EqEmitXD0E7HfPcggIzaxs1AvxmGt+l6h1Si1Xx
AgeQDI16fMosY3U6SE1dfCtdJZmTlgaZ0A8GIDsCvc79Sjl0m28okO+0TPmkUsn8BlUhG6bV2zIy
++16qD8yqGSmHZTCwqUjxyu3RdC7Fm9Wihhl7MZ05WTIV1s43XaK6+s4Ja6rqydUzysOubuqBabz
vttL2b9A+4dR54nNKFSo0dV1ZvOVNcrskuvWKVeUw5JjSkriJNku04x9bEy/2xJXrJDCAICr3cEn
p1foPzO0yZtpwOlh1y+y3YLmOiRmC6ha2c+2820S6ttiodNycha+c/6Wm/ejxLTKrriuYtY4aGPp
r/UQ4iDCsh4qnrGVhrkf6eZaDf1QutTjznBEH6oa85B4NN9KUwMWXkmkTZh0TVnvBq28QTn12lZI
nNLZfCJlxb2uFWE2D+soNnbNNtpXX33Yv3iM/q7RW090jotV7ADNFZX8P86Guq4zzGi25wv7ccc3
d9Fxuq+uD6L3lW/lMzvyAwW5H53QzxKOtDP+Rf3y54KCl/dwTFtY8CxkD78/xNtosEbFHpbL6Hyr
o4OnIheY3pSq8P/67/xnr6Mj3nBI3MS9rf5DneT1nFkpWOqLll4RCePn+SfaJMlW8a9f5/fT74+P
k8+TM1BTKZFX38CvBVIDYtMatES92NaptSEa0Nn/q0L8SwTyexXGRfvlj/mHFxkSVe10WAeXMeye
4H1tx7363Q1cgGrXBfeYf0cknV+E+v7x7Aa5fx6v0/Cp20bbW3GU/p5FwlUf8INBFfK/7dNffwb6
n8tfHVygiuOUUahHKtPvH0JOtAZCdFW7YK48R7fqVr3WnuMj8jlglMHsH1+13bQ5N6HcW9amOCHN
v8V1FsKn+M8G8o8NpGH8ck3W2K7fsin/oB0w4vxnpAP+5d8rSfVvlmezgkTzzyx8lTX9fWxNwDDV
m45Q+EtBTLn4c/9IxjyyYbaFXyGUK0rqpxbK/ttqKIYuZbOh/CIn/BvWGDBT3Cf/fZ9bKtUAXyOX
9hY1sm6tWq1fv0zdMFsWQQrK2bEA6OXVYUxh1JW5XfolZV2YOfNe6UxjI5LiFpsPQ5G0BZvcgMKf
0RHmoj8srUbmikCqhySsYhCJbrRpkBqj3XwnVuWJ7IO3Wm2u5wFHL0lUVxgd261ZScQABkKaFldF
IYKYYJlJF9CoGuPDxvM4Ona3iQz11lOV2ZduZAHta5/VyfkBxHgKhazvC51BsVYwns6Wxh8UZ6Fu
a17MAeNyqtWgKBUZCjJWqFyUsGyygZyfFkwJkyMzAqbSDcUxWRz0NFbEebNISygBk+W3Oh+V+VbI
0R1DFrKyIMOv66uHoRFqPfmaZsaBVyNerqQX1nj518SQYovPDkHFbGxHq5Soi8VlEDOP3JLKq3Jx
o6jie+84nxGDfj9KsTEY/RmKg878DMabJBjHGyiS5+rembTM1wr9TeSdwnnc6pCJcct0WGnsqOuO
jVq+E60oiOHLk0rdWjMzbd8uTP22yajOy8SxAjlnD2oy/kET7iYIyJNqvpRmxeDLqW7qZaqu1DKd
NyRNbEvHuzHi+lDm1bnTul3RJmHuOUcwmy/0S+sUy5gPlY2ftTTVA6QXdgH83VujZwAWsTDz1ZxN
Au/nmc1xesRoCXyXj893NeZzrGqLm8hVH4j+HEM0FinaNedkFilmFOCd6VPWKTqe49zGZqlJSN/6
fKt2RIGqiEkDkVcu+Bj1Ph7n26ghTWJpjRvo4STq6Pums28t4RyifNll4wAnd+koauKH3i1uGArv
9Emf/Uxl3MwOvZO1nwiLVKECM7pTPcAeZVXrPhUKRB+v7fbTED/U5XLVyvS+LYYXFh57ptpUJHlS
b2wgFCzYjd00Sovaw9HDyZmv7LJST1xyxpuD+BTsKMaW96bMSMopj+kIdMIqFmdnLNYbItUtwziM
KEN+vcTRXQHk6zAjyboyFPMe+9B7qXSEDz20g6bh6PJu40QENb7psl6Ora09qZ6QUBLFrktbcNiU
FZVhXKdd9lYMccqM1g7rfnZ8o6mDpI7TjaaAa2pm+c2LtGqrFois7OUs1fEmUV10afJUdQpz15WY
ZL0btWoHaiTulzi5kZr53LTyKrG0p7xRta2q42EiZmOTZso5Ur2dKMrzkPauj3H6fYzMYmtgRfZI
hUD7nJ/ynB9jPSv7ocdfXxzceLjCeH/iJ5ftNBnGkTVa72cuRX2opZTb9kKa0V2iapZODxG/ilTf
lham6dZSfyxKt6cOf+08GUpvpFjmLRjuW++W18VgospGWm9ow6bvjX0b1y/EyyLAKugqpGlfufpw
52pNzq5C5pu2NV7SoT1IIttyZYz8yjVvDREfcD3e6iV6AbT219YoCfOzyl1Utu7Ba+t9krHDcrNn
oWdXsdo9OmWt+nh37/rEDGhmrxM885k6sGAy2R1xLYp6/EDlf2OoOLdH/WbKi+EQz5i5RTrucx1N
oqffcZMcq4HBM57AG3IfwtFhuTEM4wu78wCxWx6OnUqnL0+Kp50UQ4UjI5WDOZt7tTURfALeWuRe
ooiAWn41ef2uz5fbfsxYEiBUNIz2NNXcsi7ta9HljwQlvWUyvYHCfehb87MDGJdU9gEUztPYpfeW
2z0ACMt9y4ZHbYHxHN33TCVoqxgQm7CmYrh7Nfcl6hWdb5gmr5MqO6VL+Tblxr2XA88iRgqSb8Ou
3lZ35piGpFrdWEV1Sh33x9eR/J8h11pc/89Drm3+v4KqhTr9T4Zc/MOfpQkGJuCScJ0Nk65e/00a
pRGtzrYZELqNlHsdQv4sTby/raJppmI6pQtDMP7Tz9pkDajQsSFZcISBVjJQ+zdqE/NrSvxbbeLy
e+ia0GlT5/N7f69NmjgCw6SNUKc5q+SKnR3hzyqM5XxHdO2FUDrgtDTyL5ZJULNn5Y3fO4y03QKm
SKeM5XGJYZGQwUl8MNRbcPMO9hEXGZOma+Figu8o1vgoBjZscM2h2jaRNyKHBKcr4OoSu4VcanIT
ZFLOo8emjY63DO0FnrIDl5dmJd63kHr7dHqOJGbBUdT3bZXAO1ZSb6+p8UcJ53cy1BNsinOlopfF
yaqhTRVaOFucpzWc4JwI4nkFB1cQhEkqeI16/djbdUes13CvjnEesmZlUyrZtdmT9W4jwdr3K5y4
naw5RL39aVf2J9YzEYCsQPHajNfeZLyUelUe6yGvIES63/QxuU1WEDJv88Mri5uME8w1RmejJHZV
PU0YOClgtF1GKPPOgtvGUyyMK5z6EVT9xSo+7VzbTivjrcrrnQn1zWnlHW6meI+eysXhapHhJdm1
iVSxt4My3TgoQf0UklwKUW5c0XIQBnH9wHfiDAM8JyDQ5aM8GHb/RmgVqT0rpG5AoLas2DpXnZ/c
HEDGZeoQBdX9tMBXoF33rhKl/rEMyZoaPoptJwZS3iZKCnPJp12RpsSMp8I71M2c3BqZ/ghrAEgx
UXR73U1Q9GfG66I6fs1qzxseBjuPz7iI6+PCBo4IIiXbs2baSp7kGhkIDEBc6FuEYVBCpE9rSAbY
jMH1DQUwvxFzsNR2PQVWRcKiolSXWESRb3d4Ym31gbhCxL0CtPfA0Da3j+ZQ8hEjlIvE9Fxb6XfH
KK4iRVC2aU3D4dgXvqMM38yiIwrBNF6pi94Y/cE1jJ3d7JkVOj+x19X4HulJF0zDEiq6QVQ7vqm5
zIJJONSF2ZUdOcRcKkxS5/m+WMof6lpEkSxoY92aIVBkMSmvivjQbOXFQo89J9NdnvRX86g8kLzy
1tPKM8D0/GZQTs3UnlUjepxKcZplwdWK9Ke4wIWctNED8YqnXvAJ1XpshkbNTC1zvXOpm6+RIx/Z
FqHMxVYFbZpxH3F672iz72QrzjHWNj3yALM741pn3Bkzf0sRpbdtpx0A725wWh5jkOiDLU+1Yr3H
c/+0jlLj0oKuY90k6bI32sKvVRjWWTe/WIPr7kSsFH4GSgufE+173EBAIyAO3ToRgWs389J2xdHw
xuvM0A9UjE9DCa5mJINr0xjyULfWGvy5gnuU/A66zTtJkt7eyXKKP9vdrZlTW3gV7hYj4CrkhqaE
U2m/mIS0iLoQBLnVm6kDmq2jHlifuDylKLwyc7xUA9NRHT1xOFDPxiq4cA0bt8pHwDPp1pjtazF4
HzSDq4XaftRt89owG4HWGhrLONfo+9ZHXJss6A3Ue90rw9xJiEmpuwIPW3XEi5rvC7JFtLwnK6bo
7Y3N/TYs8b2mmu9OgZM+1t1rdBPRLo4VJWS3cKc5AJGaONOIYHPedfL9tlqZw5u06+1skMRXpLrJ
En0OM4gfbb9E96JZqAJb7aFMx9IfABd81IlytskS28KZBWqZPstkvGm9ZF9Y7g/aDrntic8BpaOC
NmpqMoQ7S4F50C3FcwEzKqb4x0/a22O1RQB2stz2wVsp2O3KwyaF9a1aUg8RzWhAJV5eohEetjN2
73avNJtlaC9mmp8TQNsGwO0J8La2EriNsj3mqPKz2MzRSVi3ALevUZwgMV353QKQtwvQW0Vu5bcr
49uSES7GZXgwwH+nEfpccOBi5YJn2JV4N8uLtyLDm/mpsORtLcWF+4EPYRoeCyDji4Wks1+hTKNa
7oaVRE4pdl+CJtfs7kgq6MlUp8dSpyE0rYsNyrz2TKLR+T/TSjl3cth480o+92wUjelKQy9ViOk8
YwOZ1vsSYHq7ktMdEOqxsMGDrlR1nL/ITr5I67U4LCt7XclI8Puisa9cdsBd+gHcThp4OdT2auW3
ZyrWQ0DCmh9PrDBWyvt/qrIvmSNbvb+oyq4/24/P738uydZ/9bMkW4PBLOoupIw/ib6/TIvwhtnE
ACMWR+BLIfezJHP+ZjO84XAnMwz54Tpg/lmSrU50FWQmBnZ0g/8mZg7O3T+Oi0htp/CDYeCh3YXe
8ntJZii6RGKUZTc8O/r26PUp3910LEzl2a1waW0Luy1mJNqiudUI3Rr0gvFQsZ8OB1rIXVl+qbB8
0btPZE5S/KTjA5vW9qROeZW8RCy/fbsvs/Vm13GXRzdzxo7GEmDjat0C1yGLuyqbbyYlH33P0b9F
sJM3VpudanW5EEaYANttnyal3HF0L+HgAtpV5XfqtzsmxfwCY6n38WSFnH/VniQQWObix1gxWylE
waMZXyNKgj5j9VdcFNMAc6XO/bpfunGr6JatJuldawkRg+okdNLdjzZToCJDnWzrryaiel9WiJyJ
1clxtTTj1rNMsefUyLde67ikQ0T2tmiSlyFr+qC06gyyHaEES62S05CUOWMsQ6FYsPtkn3QR0So8
HB06J4cx2JQr+R6NOHsDU1i7TtPyEwyA+M7pnenZHtvYrxxUCd2UWjdQlPVNrKXaGUE2wklTvyRl
RTpqhzzLbpye8FnRhUlFECSZSry0LlzUO02/x2qAFT3BJM1QiZgBdHPdUWgt4VFDb5zcujU5BryZ
8qaDCZceTUexiW1hfoP3W2acTk6mvWuNYQYD+x+nEeI64dE3RK4I+nVuVFIRodgJVUAtpvBgUX2x
uYw2+8wrIjC67KpS1TgoHCC+fcaOyLKuIQ5fMyLiRioY2dWMDBMqXL191ZXsSkgsbo1ePBhxwumS
uB9m3VzY0p5BjUK1SXonu1hiZoQAEMQQ58JKxHKtWSp2sUxus1oABDKJW8nm5DAU0FbR6pWkY+mg
Bpb4Y5lY8EXg8pDkrQc9PEDfwqi3MVvrg0yw1rdMNdtMet8FRjJtB61fxeaPSBengL7YCtKRhDZy
QQw/isxzb8siQJ5b7ZWYnbrqwrNJ+UnB7000b+twxJO3uQZUWB5YggVZPTzXMVAnlZmtxGZHfeLP
dcY5ovYnmw3MprdyfZuuM0OV4aG9ThEjxokIUpm2rRPGqISq1bCTpWS3/DWggIQX57OI4u+UhjnF
Wb6hikNFt44v1znmDKhbWyebwN+IQ16nneU693S59dV1ElqqQO2DiMEVs8u4AiCRCvL5juU6Mv3P
+fF1fqh0uP9zVx/CePtnXOX1X/08PzRc1DZidrQm0LNUk0Pi7+fH6sp2CZn6u9z9l/MD+TuObO1L
mvLV7f88PyziKQguciznv5YR/05L7/yZxOVhm2Id4jqaxdbK4KT6dd2QFUAcpz5yzpCIjnHfjOV1
L/XZ3ohirGueS+mw7FzZdWRwFzGbA29NVqg8jJK0FcnrZHT3xE7PQdKV2YYh4g6fSMCOma27WuoM
LXMbgad4R9KbUuhZ6RYeMFmzJMKyV+nRACivFWcIWNJnOVRadtvDBb0HGbn3IBuUTgSdjkowVlPl
nEWlK/1mbEBgKvHrXPfJJfriJCT57Fys0kVIYEKrMnz7i6pgfREWbLLPw4g6V267LwZD88VjGGjk
yJWH0pDpK6+hyyrAIELMtHDtNSHZRzlYd1ZsznD1yid1yR+GFYMBYuNDX3Mt7WTAwkQWR9sL6mHj
PVnDglvFPNuD/mxP09OAwHVjMFBQRiVQCkrIeI1zNOtaw2wrwVmWjrlKqZ9JD3TRQGRvemzdM2y9
EaIG9KWk33XPeWBy+qmaIt12GJR9y+1vHSOjdyJOcS/5/b4e19nbjAXUZ1q4Vxf0B80qIyly96HJ
NT2soFPgvEHvPQl9n8CPLsexDQqZImRHwmkVqNmJieacgqGyZetDprk6H41av410vLmLkWDdMfU9
p722gWshN9486QcOIwQwg/pdrbzAHbqCkHcrYrnBrqL0vsVJdbI959QZMMhSF8KksXj3TgRo0SOb
eYqU75YHlEadDnD3z3ELixPGbFC3i70vytWIFNU/+grVgQ0MhJO4+JCAUvBDlS/c0j2wqNHZ2+vo
iNvr1tTQW/dude5ZGzF3iC6k1t9aMTCeONHuolphH0tHhom3tTZQY7sN91uQoF4dEOb6Vdwfe65g
3w0hKSDpbrI4Vm21qbZLaR6KkVKnsZ61rj9TbD2Ivso2qdo9FXFyt4ZYB7U67LTYVg4U/YY/Ju3d
7EQPQDJvlwaVtNQwjZFQwj4jTedAa6PLEC37OY8UzHTKR9soSaCalCCzRZOzaF6+kQPGudjqMNep
Jk6JeTlWtXMjiF0PKxeFfz2UxgYncw/UVV6RNvqdNJVjCvMD7F16bYsaz53qnMgf0XaqRw7zDAhP
4wsQmJr41qq1DGevv/Fa82VUEnXDV330xVygrRzw/s7MkrO6uhuWetMPDgA4AA2OMy0+mdjUYxnb
MrmUe8Xk7ozWkUCXp5/5rC80V86LJa17HX3OYawQFeetfmDMaAQA1q+SEciubSKAUgvTDGUjbtLY
Rm+e3RX5eKZoUBA0OUTTiQyTuUfpUDahnTOPkjU+YZQ9s9+U9oPUcDCqrfoj0s03oCYfLGsPjTTo
E2NAN5Gif5qd8tQJNqZFUTwVste3ujfcz3Ov7VK7eK1m84R7f7awIM8JyTeOOdlsG1x8x2mHPHtO
mndD4srQLXIK1uS3wWqubWXq2XUynRuX99bQXxvXM/aeCmethou0AJEJXAqfwGyB5NrQ4Xxydj4I
j+oOqtPfJ2WPEaVW8/2sVrh+HHY34I/fatu87wsy5SVJ0iEYcxnAbBe46euSLDH1PJLKsEWx9Dku
s0fVymRC6JAFogo+Q1ayGFZMbBhDA+ZOZeIHC/cD2ViBH4SQCjWS1jmdKFXGrpmQ80FrMfTmTpY0
wLNL/q1GnnmWlhPXKSUuDU15SqFGJZTU2CjkYS6it6KcwCsqLJVYqsf+ZHC31q34sJ2SKV4klq1V
RmFsGvPeLll+VLUZZoTlBolj56HrMjjkebjsStG8tRgESjwMsYx2FSOf20RJbWrz1COiS6o+8jgv
pI8A8Uf04a1d6nXoNNqhiY0rfKkk/BbC3TFnJdIPpsgmGuf5COHie0aSXZhg5TnqtUEYb02UajbF
5T4py+VxkQXXRs5KaJFlDKSD6wpmgidiPx6IsUdZprkw9SyS1HPvGHnLSUmBObka87EoW26JHw8A
Z6PPd+yrpWNSmAwkBzM/utRD8gC5YeZA1PKwNujjh0RpN8LoP+yGjWdhm+5uchFnzhq2XhLc2GPn
yaVP0ZJGixpkVTru6no5wca8IgMwgO93GbGabg3RqGAiGdemTnv2LPHhlsV73kUMtKGI+batWAQo
WgSuufMW8yWSKjwjvqrKJ7bE36pMueRtep8R+LfB6GZvxcozas36Mwc9GBcq+yrDBJyZmvxKKMyB
zNXXOmV6Nw7pOfIGgog1dQxk00abKspOpQuIU0wifmqSnNy+6NVmGEcHk22dvPgBtvrVMgBAJf25
/lL69cVHZOneVvOQ3cFkeEJEjo41RcenK8rtotZqgAfhWsPay1o/O+XYkjcmZ6qljDzANO1zcru9
M0RXbjQXOzWdjxAjIaFkii+s8hmG13kq9bVBLAq0Cib5CO2x6bSTlQNzqN0fEiyEbzOBLxtlH3Xi
E2Fr2A1Vv+scgEs1/1VWypMq1KslPhUQJ9rBIZc3++YN4j3pePiOuL5F6xwAj693jRtj6mmPSyeZ
/GVcnoJJr2B1MC3czyn7uBAp0aehklOHxPc+FTE/zAN8LCDqtrnmm0ShbDS+djsqtzcqsEM6kexF
pYM0wT4uFvkGQ53e2I3rR5581gx+eT1VOMXFKWPrsTOK/sMkwTt2ImiTZOSqgM/WIkYzOPBAjuys
BI3I7BpnVJOPrQRRV3dEtSh0Z3XqXRHwhULYbu4GBQqaIyx8g2axg17MXFMX+C5kwVq7dn38ynEI
cp3dwbLmZbSMtMeGP80tYadSd/punuLENtbqoT04RnKUs/iRaFYaxtK9AYSyq5Zd55G66e7auQy0
6cpVsgc4DsiZTbPYIPHegaYhIYKNPmFh74a74lzid9dOr0x9AH0ZqQkXq/lWVWw5J10Ki4N4bE98
fR7idbDB/O9Jqx0aR5yJXbt195B39jqc97HPgsg16ls4LYxKUF7YBBublqY8J2NVqfSOZdcemTes
ipP0S35SfUlRZq5OqVqpEpirUiX+Eq24Xnas2N3706poYWa5W7yYgTBiF8UREGxX/UtqQvwqsiGI
xuoFkvKyLd2xoUOPtW2OgMZoy3vW4VPYGZC2kdiYKalsBYWXEqV9yEjqkDjmt7qcLlPqAd50sGgm
aV9sqLu6zf9m78x64zbSKPqLOGCRLC6vvS/qbq2xpBdCsiXu+1r89XMoR4mTTAbwuweDCQZOW1Kr
WfUt956bJBae+qEXs2pl5DphuEDPyv6XK43f3/y7ozbvPMipXnhV1YQdpaW1Glvn3LfRxeucq5mP
ADcjfhGeWjWedUWoHNVNUb5yt0D3T9NlkrvY6yLr0Hb62wSJZjvFOknpvbuz+u6aLHki5kIQpbQS
C+qaYWX7+bd6yOCghNoSyP20QSFyZVXprZH0a5I4+iWL52HHuXvlDUiAFf4lGKPNDmcZoZMGX5BQ
02VipQ3LbCTJDaZCGPvb0qDa9UTynFTR0govSQm3QCJSGs29rCHKe25/1jCws+JqL5mMv5FTgBxQ
qOWgonMR6GdJNFKa92fLuNiserSpWtW1Fhx6vfiSDMG+DaOn1mkfSg/cXDzpa7fejrZzh+KXLjw7
q8p4jiDReI3GyZgFe9xd0z7u0me+wYdwHg071ILrsC0hA2Tas5UV/ZdsAoNTVPFxDJNi1fRxgRN/
ws2iCC+3xWPZ62hyk5thyF+S0iUlFLhOprynVBZXkRl+yQZ2aL8a+o+GXiLc+/eG/qlI/8eGfn7N
ZztvAC9hAw74jNbdsyS6wj/aeeAlBpNienxb/zCU/NHOz/RsaeFVEy4XIpCJP8fBjAcE0DMXr7rL
v4R29ic29IQy/X0cTGFDCWnOgkTMcR6T7B/b+bYe4pzzY7yULRzR0mXW5df3rZGFy9hAeINGtbiP
epGCIcyyu6bz652mi27XTb6gIRg5Dwp/biPMs8kgm4h7nB3Kid9MApSWLWXCMaz6V68biD1VrNeS
Kh2vvSDAN5LlztLr/OLegrVfM5tatFzFPck5F7jbLFAHhqKsStm4oIxeBz3xFkxLHzKKo12amt02
hmuMlnhvKhcbc1dvRis28GFw16XEbyyBeT5ruj0wGnB/Q9ASPdDvFKfQUPmmnciR05J8BJOVGpdI
gLge9dbbVWyKL8Ewb/kyL9sNpeOtkL14O4RkLRRm57EgQoienLyFGbDfVaRkeNrTIIlkaMkp8eCN
LGUI/rmz6GsDfW0E/SGptSNUk994N0/kSGPsbos517rLyLENn2VvvYw26y+2+18C1Jm1zNM1eCk0
lkF011oNDthUQ82QC1DKQbBLJpp5zc7eGJWmC0wVB7tmY9lOOftRGcebVpPBJvQphXM5PfGLxv5p
l3e4MM9Wql7dKdqZflryk5jffNVcc9r1V5A94E+1nFbV4J7pvdPF5E9nWfArbdmNIzu7TjLz1TDr
L6BIvmo+vWIREmWfjhd7oORwStGy4QZvoA3GXhqOXKbd2KyGwCN5w22XRmbtbI5xXC/uunBMnzVX
+FQG0w3BOMe4otnWxklb9Dkbaz4fxMu4pEdcTAVp8lVnQKX2TktJC1LrqPnWBMBc1MDNObe52eSb
1pDt3LnY5jWF1gN/hO/F8gROl5RnJrwOJDAkZOIKlS5UNea5TIQFgV6SEkrJZO1WAPwabTJua9S1
y96tQYsHydfKKC1QCpGitWRBUMQepgaioexk4k2OGn+vqaYi0ZC968ADvtT5pKLGvE1z+qI+svaj
C3CrTDL9Pg99+HgWNhFCIJDCxZRNnp3NJTqlE+NsU/lvShk7CC2SMB15X7c+iVs5EYiJucSqdrYa
me4HS9pg6Dp9wZJxr7m1dXFwJy9QObbIZCJ7M9Y4MpKiWPqtvNIjUO9errylTq1fp110EKo4VlZK
Z1RE/JZaj3iHx0b4F20INsME7h3O7ratWDMuvQwvFN6XRaBgCVTpa5hKwDa0+cRPrsrSGXljs+cy
bA6jM5T7RHNQ10dCXKDKzAAeLbyNoyo45BZoBLDy576C1xN79tpQHtKCvOdzziIDZfF4owS0cFWV
AHTV5C46w/B3etVaa7cprK0KqDl1rWrQh+THINSdtQo689DYwXSoYtJsLVRq66Iqb2zECpspUQdN
Dx5LLTOvjTjC4YZyZa9FlkecUHnQIAoHY+CvmX88VU4cvDd5tmKA2Vk3Thy/TfHUUpR6Zlv/uj9/
h4AxH/73+3ObvuX5P/eps0P7hwvUlUC1cFMTPvEx2f7hAoXZbfFfzJRgR39Q36OLg9vNDfm7xo0/
+pyHe/g4Df4u/kegOCUI9ScuUHDff79ALe5g3ebvdF2LJ+1vF2iuGscYO9e7GKArKSDFVELdmtMG
TC0PjbUM2YE+oxmpb6B2cUZnc0zBRF6BHXtXdc5KqMyS1wShh6LZ7o022CgL/uCiNFNusNqc4Gmb
1brrvRvGvO8kxESgG1zaSQNpMMvBJuLggsJLrItLvMtYajstSl9lTZ6QExdXQTzcJMbsjWzrFfPS
naMTnsm4mOCjYUmqkMamR23xq54NJgiRgTF+mBNnOl3t1JxBk2viNSaUZiShfl+7zmNJXM1UD1/p
J05kRaRyDkayn7yaveCccsPm9q1W7iqZ829iYGJ0E2TiTIhTsIvlS6MXu4rYnH7OzxnmJJ3E1GrI
BqTr6KbLTwsZbdUU0xcm7id3zuMZ5mSeOiGjx2CkHlokYJldsKkTgCsc/s46JtoHePIRjSAYnTn1
h4Dpp4wYICBnTM2KyzjnA2mZLzdZQ2YQGWn7AYYWg1UiaQTOu5U+zJSCOW2o/MA5alm2ZGGPtU7d
ZDLZN0EFS9KIv6msd9n1kV9UFz7iNtxqZqBeSBsh41GI99bQDoLwI2BZVzHnJhcQg43+IyFpzkoq
5tQkBVid/rK9mghUyrR8eOT3eWzl85TZJ4t43D5NMZHHB93274Y5makmtKRZYVCrwivNyDvawCgJ
wM6kLN9tUHKJV51HgKv7tHHRTss+RNfsYlekoPJOrJ/Dg5MUyOjpHfa8L6W+tvSo3JIV6935ZBJx
9isxIkErGKf3UlnbspZWCol7DLZcFFQaDqmYV06adigGbBeECVEav9qJj3ZCYB769+Nwn5VvdfSS
/vNEnF/3eSIKWFmzDRHd18epx4n0eSIKvEU43h0OIyp68gT+VJjA3jJNR4drxQu/oxI/T0TjP5jk
WegRYv+7Vf5nTkTzr+4+UIumtCSNDW5FjkWyq//aUjghno5Rq9RpNNlabUSC6ehUOvjD3/VpyiUU
oZbSl9OHDcO0K2yw59z2Ywycw7aSW9+g73eRle1q0TsA123jK8Vksyw8/wUz+h1Ki+waVUmITtI2
NniswMJaenMqbPs9LNEmJBk8P5GTgcc4l9wVfBVr9vQOAgkhryZ6772Wpy0kK+beAFFttoBxHNRn
9BusYBhnsYtJjki18hWlvtrUElATshlkqxi9l/jK2S6xCT1bvTpAK79yi9Y/ZlGabBLNY0rAge+C
jbJJ8UuQ946ew7R8NthU4IuWIvkIpAb2QgIrvmNLeyKk9FLaY35wwu5e2KEOx4eZD7OlEj670s51
bH8dcqwEVeGILR3G+xTHz7iekAlavcj2g08QTmnF6oG5Kf6tOjwF5N7suzB+a4PJeILoxE4Jdvym
t9Nq5TQp3QJPNMkyXg5IWvPF2h507YACRr+SUd5uIzznRER39lXtODduGsR3YI5Atap7rUTSUFi5
tdXd4saxGYDjkyfJRrcAWxYAyqaEWZ6lD9wbKtGuREin46g6lE99GbC8083k2PpKtFsS9hQHy1TX
dn0J+d31hD9GJyXAUaFFEHDp0c/q6B5cTyMtxvUqNpicZnKPMcYAR9yl0Z6MRvw0fe5dInSV1aKY
XIZsHm+Cf/GYtzHvAmbdCy+5Mlg9iiCb7oBL4pL5dXp9nF7G//VTnopvxdd/Hl3zi/44urz/QNgz
PERw2KhhAP55dDEooZIymEJYpk03z6nxuzgO8oYHw8JDGuRiZ3D+tFLyJwxIqAxN3dNdTpyfimKZ
T8e/OilnhwJ2CgHvBnbsB0vjByhHVVRW64ZxeF11sYRclwzM4aVzEUYUIuYJNF+b0BcVg00qHyBU
b9VEjuUjChpbuA56Jtq7wRaB9z6wY6iZYPsvdHqxvmaQkWpHfujGP4gwVmIdUAoF11aSk2jO8CQs
e4YpFJIjEv0pZefZeD60CrZic0yhshE+oNnyXNLyVMfOnZqiCncO3mzo0bFkST46tdxVQY3nP595
xXY1pPUFgWyHqdJUg7MOXL2w8WVhBpvaTnuTRBRuf330v1/c1PX/5+LO1f+YA86Ayz8++RKnMJ8t
XDDu32Q9KH7wXeLEITrD+cgR/vzkm8QmIBc1HNtB/ckQkYfi89KeU4igSLqMEHHr/HQb81fCAcAb
DMzm/D0QUGTiSGfi+OMc0AzTUgS9056zxA43RZFGq7HIIATegKiY2KRE35O3rbDXyeFOeqR2UrSG
QHHMMI0kHhWZ6bFyo0pdcHpItg9uN8gar8NoVwRXyjQ0t+BgEBAtLCuNyNXS/Lg3VprvFfnzVNud
de10nVfnK4e4Tus4Sjk0TOe0Km5enKmtpwklue80bFjGumeOQoBqvY2b0juRYxLug7EmpmQYrIeK
gQRh21gbuoL0YiuJAUZWQ3+MFBIItDj52UmT7pYos+FVz6UsMdSEwWtv1eMmbfTsKrKTAkBh4Z9j
TVobzBUhmhEBOcAdTIU01vD3bP3IIMid4SzQkq9qdCcFjz7UEcOoX0jTbJZpy7ppGbK03Icybu+N
oWI9Febyqzul3rYP0wGuIzAddPDbFLHqrTvp6XqchTkp2HOLtTHNiWxb1B62rs41vqNNAj5oY5WC
LUnTYLgBqkkc4tS3u8rXUXuLEnqO54XGM1rZ6TqcJiSvidEZrwkjoyMBC8Fe0Uk8mrIxVxyHLI9L
cHSTm3WXjrQc3tJ8X3m2uBNNpKfLGGrSiSGQx3lYhGc1p/gESkZnOaf7eMTXrmNyIc5TBf8tq3IG
jYqow5Ce6CtbqfQKAX7zW0fM1abxYqIYtMjAuyhSlDIhwzrlMQ8Vc6wRmEeN6CTZXJsRyH4WRcWR
IXJ/bEhRYmU7YRDV3E0l1fg+WIDx3TILDmPBDGeBcVg7Rb6tH7KogRJUKIQrbUv1UikXOXGAmMXC
2bQYZQ2XazI8/5DWmv0b1oEvOLuMK0Nzywvfvr/RcHqemsKYPZi1flFTCBGGiLx9ELGmLPALAVEs
1W04J3L1zVCtVdSNzKgnf9NUTRP8Kiq+T4is/3uyAmkA27Csu+mflcX8ys/zdd6zuAKAMEtG2yCf
7YfKwmBlApOAhuRTkf+n7J6NiAvw9/faAh3m5/lq/wfrn2QlIpBIMSj6KSckkfB/ry0+ZkRyZofB
O+Fb+ev5Skgb3CjcS2StRcVGKBu8iJGSzjjmX6LadNHP1Yj7DCBTKWFbVAHtvpICWbvO6jXLhsOQ
og7LQgQ9rd7tgiLg/CXI0axRBRR5h52fnO7YiV8Hn3Zf9GBp+xxTcNoSSuXg1wE6pbzrsMoeZM2I
H6kT9pJkulIJ4uagRdMRffFj8z7LovzizFb/Yjb9d7P9XwdrdMggAvhMwYmE8W7chCeIgIQ3WAzd
JjC04T6vvJ0NCiAuicXUx3ytNeNtJYbLWJTpPtWqcw90NyB5WOoNZCI5XmVOfRc2WBhrVRAxTWET
tCZpil649IPmqyLJBIFd0K+dSdVLM8LgFFV3FnvXcCTiwbPqRVPX0b5PnWchQmcJ3vXcBxXKgCnY
+yMysW7MdmERkUeVdCHZ2gm0senWZ4+7w5vKW9NF/TGNwBNkMjh7ZXQAyDtjCtL11Grf4jglhKKq
nAWKwO0wDRF5sMyWtB6oq0BxNCNQN13qXpsB4nuzFcuUrT3HjnkbY1komm+GW7wzLll3FIr8VfPi
XTQvIfiFZeMzkbKcFvc/cgezxLJDuwt7tc8gKVnR0lbNzi28W9yRxXWViVM1xuNar0S5jiSWQfaL
xnYyjHtrYhWe9CgqNflQMt4/VH1M7A7pKnbln/WGCtP1kw1B0MemaK8J41q1KUnxQ74pRvymyCu+
eFZjbfPRQF/egAn1UrCMkXNSlXo0imxj5ZAmB1XuM7O/7VmPLMQ0vPGVRy6s9K13KnHJSeZdVEJd
x6OLQD4JT16n+Ve9Wb8iXWTDVwuDpJLcfg61zFlXTufJtcpxbOnTRibIdoj0QNbZa86hDIrmZuQQ
nvtG1hK8QfR90na/uaU7HHppLkj8BRJLJivYLyXNYWX69ZMH9IuCJN9ZScmX4EIuu2RXD7ChO8lb
7Abg4LNwejDLgmLEIJMJn+OdW9nHVqi3OZl1JRJ5mxJlerRRtU1ZTxAeCUbcXaTioO8kefZbPJUe
8T7Ot3GWspkE1q0kVQkS5uamhRHNg3jymX6sMNiWh8Kpl+A6tDlnfI28HmJz4IIyAcG2KsYeNcwQ
qE0s/Pe0RINKmY/go9WJp+mKJbURmT8TBZaR6+tJtyviRqcV3mr2tflhiI1mhVDoKUaqhpCrba9C
SMwnc6jlm677yX2BQnSX9q4iLykN4az+qvu/1/2U3P9e9x+jPGj+eTEJXvR5MWHRtxxLepYg/+x7
df85rcMqZuJLselgCVg0uBI+7yWbuDT+41Diu783w5/30lz3U/g7BtM/h1HfT60vnFmt/xeDPrYy
/j7aZ+LUcBvQkP9Y9gvfJGCzdOQ5nDSzfkDVTkD0MleZWIWkMGPEZ+oenRo3MUnRsOesvyG90TWT
SMo5B7D+yARsP/IBlWuTFZgVNaYjp58TBGWDsbah5x3MFL0YYoopuSnQ7Zfo9zHEPo+DwTLTNM/K
zquVNYv9OUwQXlfha+Ew0DZmSwAzzXChyCkccQuAkE+WmZGo1YCTIBT+I6Uq3oJCj5FNph+egyQt
sB/MRoQeXxmmBOhAo70sOIDzk6Upe6ewXUdW5ONXToe13gKp9PO+fDXi6TkgWIiAjsxfijLfYMIa
lkUW76pY20WEdmMYy191s44p10nZQOT2EAXaV+PEoXsqSK8aTYe3JyWC1E/9e1G5NxlgH0/123i6
Ea39MPTNFxubkIXA1Tv9ehC/P4h8NP/Pg/hW/489ouA1fzyHWCyFzczJdqjpZhvlH1NznkNQrCTZ
Y5CxTZtH6o8HkafNmxMhZsAWT92PvkyLBxFNj07paAOuYWD1E1NzZ37Q/vogAqcW83AMLRCJRn+z
ZTqiDBAgTO3ZaRzgBJjasdGHRrpyKsvbwmh5wUU4bKpSgrMkt9zSDlnjdui4nciInyIDvfcl9Iuu
2rM4KjNAhDHWMkz2nXNdwtkfrvOhPJdmEt0j0MSnTN6mg1N6ahjrhvGzmUp6/Zz471L3aesDYNzk
6OXzJMCwpnDTfjQ1lRxrcEu+lvFoi4/4zizEjl7iapwMtJ5mZzdRszGoc8WBunUq7oKJ8e82qvwY
Vj4Qzq1nBqwZHUSlY9/aq7oY4q2WqGo9VL7Y9okt1sNYTVs9sevfSMDpxC7xlD2tzaZTwUoZ3jSu
0w61KXuFeSiXW6WGOL6c7FOnmrBYlUZh30W2PZvcSKpd2+xpt6IMk/YuMVPIELZVppfRsENjWzn8
fxU0xeM0WGSllbjm43oxhoWzxwlj6utfj+jHI2pxg/37I3oHr4rpSvfP63J+3edjOo+BLVvgY2NG
/CFv+/MxNcntYs4r0aqZDIJp1j4nxDO2GTEcSjad/u9j7/X7fUlGzIefGu3dTEGeTdc/8ZiKfz6n
Fs2lQxYND7zNt8JZ8dcLs2sIh7aL67HWnU3eW7MOjJ0xmJNd6NREISmF+B33DqnXUj/qaSaYxYJf
2KeMXx+jzG9O9KrjojHN6i7ubGsnx645D4lffkOEl20dcsSuwhTl5yw2jZalp2HGyIQ2Xjdsdi64
cK0nRG3tRvgGrGXfF+RK535+ToLS++YisFFjioJNCO1gYIjZTi4RZK2r5FPa03ANBECf2iZ0iCfN
i2rhdPh9hVTFb2YHWjQ0G+OtkF36KPU032EjwixS+s1Lb3r6GsBYtOaJGbZOPBArEvblDSoaHkdk
xkEUlKse9AcgMg1szteCyD3rKHAmqHGD8wmn08foGal5HJ7BXzGcrvwmr2HMlGTsBaB678LY05iy
zaPtqeWUIgPbo30G4mzR9W2AZbkObtq+HLSVNII0Otpajq866hC1MVGsMJdgbPUqf3yyh9R8AZIv
MWqMdr4JQlseVEf8ZTsU04sppYTWYkT6MZgJx1EgvK1f9sErn6QIafc0vfhNOL3hyn2stWqTB9FB
c2i8MoG8kflmuSM7J6CnEB0qQGZTx0Cw809mCrRsgUosxqxA1x0NQbRpSG5A2Nxn+OaT6gvZYfTF
nngwE4b5JTvTRagPPXa9ut3ZcWPfuWGZ7Vut9R6gL9rn0cPCkbG80hdGK4t7n0nlW9On3qtGRvbB
TMmML8eMhAOhreqWaIteowlfkxmAT330I0JVtaLZq9LPKcDcZi/JWHkOJuGsJo/AntFP4isntmIM
2lX8JAg2WyIAU1dNMhVPUzdqRz68M8c7x3AY1P4jjpzhIY9r2ttijO60aCyvw55cFmRSTrrKLatH
eN1YBM7GXtjip5QNIhT2ETP1xd4ZvfHm2WSApXDjxsG8YTTiktFe2OIN7Th6b8xyC69sUGMyVv7V
t3yfqrEK+z9n8W3Uv+Hj+/b2z8N4fuHnYTwrDZhXAa2gPUCN/GfJJKimwEjAkvhAosIJ+zyLTes/
Os8GczhIFkgOJC3HZ++CBoEDiXbje8HECf4TZ7HHl/9LyYTgyybSg52gbRsomP/Wu4TGHLrYmcap
LqqqdK40gvVYInsoATJ95RFgjy3BMJNVaPtg+aIBupJQSjgLEPby4qZ6eukKBgoATrW9lLl56hKN
vsJo8mPme9kd+KLh0o1WeTVTZL+2QTscjGxI7sgLqo8W6s982Y6AQI3I2hUW+mER15KtHdKm55Ck
AY8xETYV2v+F5aVk9QpIjWkuX/veFu+aGU23RmMTL+8hTwLlQn6W7hJUXdokDBmxsZB6nC2jEORB
lnX+vcEjdNtBMQrv9Jg8xmabOqKa9lNJhvKCMaKLoYYdS2DwBTu974xFz21JkpMa3EK9UHf2N3UN
41xfwMuwGCnYvX62bUqkTEZV/KCRW4vEoE8cBxsL4YGLoTZVtpC9qp4TxBR7qyeog4mTsWIls6hL
dXDbslqJXGJD7WtPHnt8ay9+HDHIwkiCztnTm2ChVT0pkSrKTXOLrDPeqxBGyopByO0kGhy5Ri/J
9nPiry1szkNpE3F8knHV7l22Sv3txKG2UYiiYZOGfDCHU+YRsa392mB+PxEEz8+/V2dXL8n/OAzm
13weBmStmgRVsONyWdTPu/YfKzMaKiYShEzM2ED+6HOS4c1jeUN3EHlTHXwMOT5PA/c/DIORC0En
ZPTAY/wzp4E5l39/OQ6YhnxUhi7Mb56sv0PFEdxQqle5vCR9iio8yCr/bhyTvNoRi5lsB8sysYMB
G6uIpILklO6tGie07DS5S3y4l5kyyIQZdOQ7MbUa6b8kD1uzQNxEKe7OkvFhFo8nQX7QZjm5MwvL
x1Tf2Bn4NfKPyF9332TMhdcroAbQQVCm28wQ83E4Ir/faG5PjWHE3W3bN+hVRvs5Hb2cEM3QWw/4
2lK92E1kdA1GwOQ871a6TZpmY4C3z7N6107kuDfeG4yDm8h0L1Pl7llh3GGT33KvP2qBWx5zHzV3
SApGaEV74Q2PaRssqQoBLcuHIHJHRpUMVKzELNnuBU9s1/amW65j3X/CjvvShabAklWROdr2A8EX
6BAiclBZURP5WmOJcwrvWJGnukhqA7lleq6wkOD5C05VZr3UYXvBg/De8kbjwS2WUzEg4vbLQ+Yk
Dgjldic9d6WTxePBRFp4Uw5wcIZAl6ZYmY46TL726NbhjRosMkXaeN8FOWWT00yMUZgjubNVWvgw
J4Zix0b1KaFtZW9YLKVZT5tAkZAdlOHXhtDVpSrZkuRCbeE5HlKEWdvMNc55yUB1aNNwFdX1b6Uf
Wmuzfqcu1Hd2YntrFEeouKS9Ypjwro0NFjHPu1RzvTpFCHiZdd+7tQunwUt3MBhvUkIkiIalkOmL
ZdyWzlIGUJBGPVDPKp8ObmB9c9i2rmPqINiL05NVlwdYEc+jPt1UrnaPEulpKLEP1234Tk4KVv0h
gY3WwLiB4Z0QQ4vZVjS09sMbNgIqWiERNZXBJja6r4B+2ANLc+P0yVfFrAFRfT0T+SK7ee3JK7pi
n879mM1CzhY2f7oaZnknPz/cBDVrPn0Zof/sETIzp3cdCAoZp8EK/jmJc5XPi5P5HZ/QnC4iHzh+
Tnq2p2GiZdCvBUvmcOFO9fpl4mG4UW7sbBPNBafG0nnBrO9gmrGJj4JBfsVrpqjUKCIDc+GMegF/
ukc7KyszWSRCoUs1o3FP/J5cSHwJB9cdJwYhclhj920xYUBE0Pt+M+AJpiS9YOMmPcwQJ7Or6CRY
USHNDlZNGp8rm0RvQ3yhflR3tdCSJ7hFGE4rUGsm8i/h1+XaJbd2UdtmgrMyWPQWBMgxh/FjIjJY
uMSTbjPD01ZOTtSHGLr+DH5gPQYFKFNNnRID77tHcGCH7m7RpVA+jah5rTttKyBiLNh/7HO7MxeW
dA+aa8qDCFJ3VcwbH4yv9bPBoGcBj2RYk11rL6x50gj8G1c0gKKNVqYANTDlfK2E8Rhnmb/xGv7d
oR7cbT6NnEpJKrdFBtGu0WKdIUpVLIQx/359O6M99eERh2x7hnPEE0VR3xF0X9+EAz81RpCNCIqj
UOaWBrVdFx5uyXiqWdF77nLELMqZ0fEbgoeFk3kDyEVtsjy7CWVkwWMFkQBW4ggJGihzqW8jmTxR
C2w7rbmbkr4nSaKGFkV4SC6SU9PVaNw7LGYY0em2yp3dNe+B6YcryeWxor7hgSXwzzi5Y3afNXF6
5YX9NW1ag+IQXmBWsDIMIHghqfjC7JiQnPIIleptLAxBjGJ2aJOBZbwYtw5UhF/zm+/zGyrof68Q
7sKX/xnVPu8M/qgRCMkCwiNgkqFPdmzagj+WHSbUYQyGdAA6yw3jh+nNrOKzEPfNq/gPGd8fHQPT
G9RNSJk/NFMfLchPdAzS/LvKSVqsWuaVPnEOM23vb9MbJH+6WZKfd62zo11Iq0NCZA2/kVLAkVhp
lzLUWShP0SlJDSxZChGgCjgaKFBX/ei+FV10wkp9j24vXeaM9lfKRBjcBGypXXNHRPbGbv11RpLR
MPDPTEsWA1m1KF2eGgm7KGINYo44z8fqhdTLk2q7NycO14NnrlstiBdKlKx4ra9MuraB8iAgNfBi
tCjrdjBZdrXnHZs4WEMU2Uy46lnahAsh+yvbKB6coT8PRtgtVW1F23AyXtJa3xi6/hjqvdw4PmSk
ssrUthZpAGwZgK4Fu0OObb9x/fKIZ2HnmfE6CeM7v29BnprmsO6xYeXwwRaNW24GG2ADDAr9iJDT
WE7uwBIyZ8LFLvfimek3pJLlVhkMVSLYvLjJ/XtyjFhpduNKzwdChJr4lFgEk8IT5qjtibMKWUAt
ySpVbHndNS3YIZQtTNMhfWhlzaCbaCZQfzdhjVQ5dz2MFRqKb9meOHDvq7DbGu14E42Rtu4m5kAq
G7b65L4zMRsWuCRu4MuhkXa9pzgWtwpEAzOnAhBaamZLZZv3UxY9USiCq5j9+m5CrRPBCQByDzLj
vcExvosnpFhG1Kl1iLtsweLspmvDL2HM9x8oHC8TK92lTehTZyNtL3PTAvnfvRUx/rKGqzYgxGgm
OQGPsVFa8HV0EnaUT/VX5HATVXaLTW/kHGUONmFtxWdKUFSOdaZVHhkQMa9LzRbdcpZYW5RUl6Jw
v8AH5ffegMhGPQUsrnwSXXTVxtFVHXnRHu00tEIbEYBl5NRbDR7xTDPBwrXl1jeLcx56V2i28Itg
/lxgJTrrcfEE/BFpeorcvYtqAKYkbw18o0OPSkKk/a4S+rVhkBwrseZDmj7WQbdv8vKh0/pt0eQg
44sNui8PkDciuKDpvbVlD7NmHmG7q/ePCMUYXBkkno5b8KdqFee4n3K7uOiKn0o510U1wGz0+js3
STetfqimc9uffC3aKHK4gjG/CJlfG72/Y3Nx0Tob5zA7NmOWyXQQHroCoq4xc75ttBx8QCN/aWuh
T/gWgLGcvzTPZLl0bSPDqtnZq0zv38NkZIGXmc7aKOdHNWlexxhAa+G+O/HY7QumYktMMt6Wfncf
ikquJnIPapD4pLS5uTduNW1EmjOaEE7gZlMeuYRcUQEEY9gegJ7Em6y3vnWytTZdmHwrzP6xmrqv
jDljKLvo+wNzuFZdTJZUxIhRtTYZfKkB/1d2uVEfGXi2R84eJCqAhhbRWFV4ErN2L/MstjdmV9ry
odex8W5DqxbbzlIlz1KVI8N3xnpau10wirWba9ZIo2+YsBdcQZtem3KKziQ1qO7O+y5m9mrNPMLA
LY4DZuTwsQaJ3F+SttxBvRJLXFHpmpWntSHaLVhU+vSCE+u28WkU2mQ8WFbebWqtHreuZh8lm90V
glZrLo++YrJmz9XaEMdi6zHRbHcZzj5cktTsg1nwYQYWgdiSsT4o0eK59K0XYlKMVevGGUiw6r2l
JliahKbAlBpgGOrQP+q2xn0OyVeVgHcjD6lkqZ1YtN5ofnfE1/XcRwOREyZCIbq7Roz6Iiihkjbm
eAgV41BIF55TvkRJcWvPQTqtwcbNZBGPome404347DfelRarpzQ03ieBda0J5HvSZ7/lerTSpoOh
RjLpZE0PUd8mI0ePDjwY7NFIeEbonPQkZTw1Fi9DMJGMbdbAGtlOV0QsLPgwnm0nmVYw+FBdgbQx
uDHBE8lpFY3dadLV0ZOjv+RdKHcO0OBFU+jtFuAlZ/t/2Tuz3rjNdUv/lY1zzzTnodHnAF1kzVWq
0mz5hpBkifM889f388nbiaw49glwbhoIsBHsxJaqSiI/vsNaz9JLz3Ii4rTriXvJl24AlcxGcK/W
gCRtPfY9gOixZyfOwIuzrHASZ4PDG1TLSDGqDVHgDvaI+34sh6VVDAeAAOrCtgFOBIp1iob8CAot
c8cSRwU78yZr0KG0j6YzTEvsF9cTKi/UMijR8LuVLhkft37XNV435Pes/3exlPAeu/lTRzW64q7T
uQbmgjmXKrk1YXON49xyQK/kMj2QVAysLdA2pJ7fVj1BKJE1ukCyBabr3NvllWMUTxEPOmIm5Qsd
eCYABt/tc91f+7NSAwypt4HU80ho6RZUg+0ewbZbx5jAgwcEQRMLvG4MNvyR3pwAYZ+pRFa52t5h
FNowokdG1KlcgJ0+ArfL+qWs2JXnJL61lhApuBayLM9M+nUuScraVEN7y8bCcZswPcl0bgu4WLsu
R/ZWmc7OasbblGyZ5VTwEOTIWgGGCkhvVvZp7pguQ/GADihP2SGoZ1OBZSc1GFnaXAbCq6ZYk1j2
LCat8t3Y0ra6Hp3DLr6TwP+spBxeNYccB5wxbOZM5ZYw7LNa9zMKCi3zzGJ8zovgXjOqExTB51nX
nkdTXjFa/1QkwaciKE2v1aKtn5Wf5ALejc6uyFb3Wiy5iLwTV07DvVoPj0GWgmljbo/fJuiiS9YH
oFRa+ToHzIJZ1Fhx1ofuP2X3W9ktUjH+uuw+Pn55qR//PKcXX/Wt7EZjREIhk/q3/C/GYO/KbsLL
dMpeNpYaM1lRkX8bzVm/WRbqBpshvY0ISEhmv43mYE6LkRxlPFhqmtG/NZpjfftxNGdjerDQSFD7
Y0EUb+L90hReyNSorRKcGKqvLAHWahvBw4W1RVzofQl7qxypbGZoXJbAcuVZcIQfvJHhdekC3DU4
BmLyAQ+gle5HjICL2YmPOWYET+GQzAUArBUoMBsmGDEW+G0jh5ojKp+VrkQya3cXbYeTRukfTMhi
CoQxQ6DGoiD8bDqpJ/VDcFernbzJ4ZIF2eC7lk/aKW+7WHXQywqBMeO2fOAAJENVIM5ALQG1kEx9
BRD1tR+aF0QUwIUEGs0ueIBn0NKKJLwEHfcIwvpOEg5vR4DVCiPCSgR/wRDQtQ640aIE8gfDt3iy
IbOxSgZsDBqpHviIncC3NaVyluC5xSlxsfDdYgF6Y92ATRr2G7iPs5xr6EujtOUQBxCXmqDi0Dn0
2I6HZ0hluBEoDhdJaKerOTRQS8nxTQ91DqUUtY6MH7LRUuswZM51A6Muy5TLJh/qVZzCfZTg2IXw
7MJ23JdFKLvWEDYLHeZdoJQx6liGBKiaikXRGZCrosYW5IT5FkhqvoGI0gHqt2LmcmD1bJX4MXaj
Xzibp13Qh4Ss5mCiGwHk0wZbWpYw+kzB6tPpOqbO9y8nAfILq9ZZTYEM3C/NHCxZANJygf4rTGld
wALkEbEq4urzhBhk3QQahs0yzFZJYIGigiWIdxmFDKQ/8II+kMJqXloW6ME0yJ4pKGAdCi0nRoxs
mQpU4QizMLWGrRnU5TFKKFT5ppOHg2QVC9ShjDo08pV22ee0Uio8RJ4NoWcx2/ViAUu0O9R1sgAo
1sQmuag2n7ta1hZlQ55xJ4CLMXgsF8qJtYlicIzzZB+Z/iHkHc2XuiQ4oXaUi3xocxf+CiR1PR69
oI/AAwaTLaLArnPoj73AQEYEjdCnWemmbUaKmmAgMBhspA8/0hIgySHzcYAFOUM9gZmsHOtMYBR1
oJ7qGwzwD06sPsmwKS0BqVTH5ihlkrC+2RUZrDmJVdUTuSWkoA5WRTZJ45iXDHJbfafMaB0BYRow
Z8eajZE2wPMM78eAe15N7AIGTMeTFJjIpLXa2RqyhyGnSvPtSFn4DdEWlTHdjYFA/BItDURbiADY
nhUFEWJJUuA274Y1+/xlEwH09mtm8UoYmPu66lER4NyjUMxv5sI/wYQ9dCNS3K7IX6O2ula1cJur
9r63ccC28X6ew7WaEBsohUc5ZrhcTHHADrrTt1mtX7F97iGtVv2qGpW9rYGuxda8LaxAXZoJb9wJ
Ns2g72VJfjVba9UkSIsLwLyFn027QpoeVZl8skoBJFqNLSTtqTd30dyu7DEYacNjq23v86Dqi9UY
lvrsAnksrjU0D3fFOA4Po6+CIzPlpq83GoTvz0FSGLu2KdPgTPhKQJlRSfpnPyCJ7hiTELzOnITU
bMe/V0LdpP9QuTR8UYcJcr1eAEsbBM1+4LpbGoJwz1X40OndZsYsTT9rbkJBw7cmpmrUgTBHQeXb
83wac6jrczbPLjuVc2oGyW0nCPtZGXE80ZkwsIxfg9q6rE22FxJBelPUIDaektS1UMBrTvslm/q7
StD8uYvXNnh/2Ev4HgH+O3q075LJcMtSflRGzvFCSAsQiCqDAsO89ZtNlUoR15qIEpBVOiIigpmV
wHomeDnZ5oLg12j5o1X0lOqC7meB+YuS+EkF+0d05dMIBjCv6HFmwIAgd7gPBSvQAhooj4e8LwiZ
3NhMxPN5HXUUmr2NfAbeYA940ARAONNf+YJIaIEmVJiKLxRBK0wFt9DKBjJ5WLyGgmlYC7phLjiH
cGJJU1YjNG/o4iZgiFovK242kJrJZvUqislUT2vr4JfVuRAsRaxrAN1ZBVSheqEL3qIRQBmtawiM
oBgTZEcFaEYJKJ5byOZ9bPfPsaA3DrQWg+A59mO798v53qjsBdC4E51T5qogIEvBgqSpXEWOvC0b
G+ItqCOQkgFNMSL4jhVXjuPKJU6IRTRxeoZ1bTmMcBTQk2YPPWcQNErNbvex4FOyyzH5i+OqBl2p
C4ZlF4VMfcBaEgfJ+cwSKemhAEvRNciSx6qztmrFf0Mc08PHTDR+1TKkj1qgMy0YmpkSvMSOszFg
axYSf+pD22x7uHvQNzM1/GfR++9FL+XVX9eTh8emefmRVpaveldPijhbU6NiY2MisuN+H+My4RX/
mUkucIf3Wtk3MzbebZn5Lqr2t5zcb/Wk85slMw0mdu7b8PdvjHExt36sJw2FN2YYLJZ1WQfl8309
2XfOKJWFOZwmNODWMuz9mKhOC+xkMEUhPEx/385JoC2nuO+TO6VTgMkg8Y3abTlH9OK9SZZiMznD
vIwJeqAUG0qhhBtyvOk0RYMl6oban5dtQNojs5t6M745u78ORqamaepV++b+9qd55j7+agvH0ooc
tTIDdWag8mYgnwuFWtF6G7pkasAARhdptwtBEMXemDCheRvW1H2gG7epQo7biuymLZJepka5qZOb
Qpm0GTWGQq+DZo+rIMYkugwCMlWWZOnJxFeOwU7y7fQpAsPjOZyLEokSU7+UUiyxPb4TGNLo2+SM
VJIeV+5Tb2CLmedMW7fyJIXs2AJ9bUzhqzlI+iLL7VcW1joEvCBbWiV/RtA68Jy+A2HJZGAfBgBq
bbEbCyIeIMA0KJvwvD/JFnNLFRINrHhGAouahyRWABgdiBnlDXgy1sk+bErFFu7PuQh2ZS2lZ31K
wwUpvc6aCehLYs3GWks1kmfDXl/jWIqWckOWH5Uc6HzUiWfiOBu3cnhilz1Kk6oalrZExltgay8h
RM0N2n8ui562OcN0tqyLwFrIpvRUJqQOmnPauSxJmZLV9as1+D5EUDbdVsb+3htqUqvSVrXWRZE1
OwcdjqdKYXzkPdMGFGaxS4bejboYpLJlsLmzhunScXxjPThFtmy60ADkl0FdrnV7MXQ+sNK55m3a
2qc0TxgHVhQcdc10yxddP30Ng96SQqYrtHhNCEJ1GRAouBiDob20IhbL86RUTGqmCQxRoVLCy864
bHqeJkBay+WoWJ0YyFRLf8yTjZLSgSO5zjb/tOFft18/PTavi/TxR9Ed+rtjU3hQeawpKONkFbkL
bfDvxyasTwHttHRTGG7EH31rw4nc5K8y4Prm//+jDbd/Q2ZjyTBndGjoGvb/v3Ns2n8y+9DvC1MR
kwCEy5YQ7b1vw3U7i2vGWdPJ5lQ7W9D6ryIIx5+KVFd305AkD7BYrJXd9vIRl5+/wFEeUgj0853l
DIDn5SJdk1qP3pbicGlJLftcMBRLu5Iv0jR0yIZU/INhsFfWaIkXPeU20UEzyXpygUlPYnczqoR8
N23YbhTMCM9kseXrOB98oQdh/V824+csDINdUYWEBYhYRhxvoqmxS/Za052jVm4oNL1+Zu06VpHI
iqVhnyeFwx0+jJiEHN9FlXNKtK5gf0HokGMi5iBYY4O3EuKmI/h92IXEaBOqX0m4gn7ZQvqr5jlg
zl8+hAICCJ+YTORyFxPp6Y4CFKiSkkHIqKWeAyX4JEMTjDqtXullfmkI0GAkt9K6FfDBWWAIwxAg
YQoVAYJBs41aejo5DPV1kub6shcoQ1Pp7QWjc/CGGURRv+gv5xqrfpkC+0SYNC8kw1jGdE/MQZ2L
WGOv1k/8dCSBUQTkqHmZQCs2jcoqUuAWK7iLnRp/RhAJ8yttc9QFZrxUAlKAaXZbIPf8wpg41qDe
E3nlm8oGM8likurAHY1+nbWJv5jmrnzsiyA+jq3+IiWF7FUyxS0jCduDZeImcXBtatZlZqHeSMZx
rfbpnRoPrXPQSblY4G0+9ZVyLlT7Tg4ai81VtC0lec3T1kAfCS+OUxinIiDJtNeDY9Owi7HybN9o
yothCE6AOVz32J0xRfcJAUqg1rJMPlmBs8mzYo3B7BCPzrEc5HUIOmU5p4FC52ieJz9eESdzymZk
ImabrRw9IxXemI4GmxCGTbdMvFDMjzoR7AgW5o5YArUmqUFhtEvgFM83+ErTbeXwxBx9iJ9F2TCz
ymngL6oE262ramb3DB2jdnEyELAOoxT8NCr5pZVFyUFBOElM1sTEm5ApzbOUejzQq0Xbfw7jt8NY
+/lh/Jj/a1U/5s9R8/wD7or44m+lLKpFYpEthAVvbklh4Pr9TNaApWEG+1rIvlW5385kC/4yqBaE
qb9/1bdSFuEzIkcDlSGnNmGnf4sLgOnsg2YR6prOwFYoF6llP5zIRgpWI/br+TS395XtYyVvvwrc
n8f/HbzQ7aVTUOT/AjJ8LsBxNf/5H+I7/OErA2HAd5UxqWGmcVReQryDd0yjufTNckRXd2pGiVJs
ZaRsbYwvff+1LPjL1/n+k/z5dYRY+93rFJJSgoc1lJMhSEb1YbC+vOtSfvBBhB32p5/kA6EmUCrg
ikgTT+oIx02/tZxXBi2uI6Hy7mn7ZbfpH0rA1NG5LfyFEr3E4SoIzmrB2X4dIMFuq71JtrHts+jW
L7v4esDjPkJ4/vk7FZifn77TD+2JFkl+i/Gan4W29CkXq/K+I6iWPuA0+BhNCQqMJowYKjIENpxm
9HVT8pe/izep68dfuqLgTkIIS+yA+sFMiH5N4RluTSeoARGUbgCdh0RXtRYxpF5B/43lvNvGhPHW
aBCMbrhS0sGk+2Ea0MvS7KLCCxdqiYKcEam8G5yWsj/NPqmZtiNJFTi+KsXK7ahl8VpLnJhUCRu5
WhwvmQZsy25aqH21wgfj9e2EEuXUm9GSInwh5PadOa/r0Tln6tmf45XffWr8FOnBTRPYR/YB9E1E
DuS8AQYBGHRcayZ+iCCExLgpSvbepsahjTI9It2gU7qDJWfLodxM1acmBpsgwR8Y8r3S6pfkFcZj
tu7J0L4FQLQotVlD3HbTgqgjenER92OwMKJA99DbMRO1M0Z4SfrQMvPMsrkGo+03Himzh59fIn8W
InHuvLvxhQPu/e0CSAea59jMJ3mtbfztfGjvtbW9rU8Ikg5QfFzyJjzHnVaau6t3pBR644O0RXi3
ltfmMVrFX23Df33J/OKSRdP1/v3owDytTFyyRbItMEQRHdQsqlUl/+I4Epf+xyvz/XH04cAjA21O
w5DXkVj/3IxfqoAeykWKa/q/uAmU77VeX0+k9zeBWEq9O5Ec3letOZF6CjU3Piej140uptqhWaK/
DU44IH7+O/3RCchYgj0bzEvU7B9+pZmZjZaVauoJUC3JJk+9dP75C/zoAHz/Ah9+dsSMWHkfqOqp
6b2OQnCQ3GZMfvEpfvUiH05ZZ3RMFhC8iNPv54oE+xvV/Pzzz/GjR9L7z/HheJx4Vtd1ZqgnKDoU
6gM9+ZUTXzjh+PWz/K/vrurmrSV6LgjfYFfXfvjX/7opMv73f8TX/P53vv+K/zpGz3XRFK/tx7/1
3Rfxjf/9wt5j+/jdvxAzErXTZQfR+OqlISbwW5cm/uZ/9w//9fL2XW6m8uU//+PxC4wdL2raOnpu
1R8sf/m1/GTEVzT/+r958JK+ND/+0m/FkXBx4eXA+QB3keKA7/qtOAJKh2PWBlaEsYoKijfxrTjS
f7MZAGK8AvGA7vm9wUt9s8szAjQon8DS/a3i6PtLURhDYHgLpwlbauaN8ocbKrYtFM45V0aXLWfD
WvjhWq/u3/1gzn8uj75CHf84kb6+CqRag+2UDjXX+HDBV/Bw0I8Z8UVbxFHqFbbMk8dB+un6GgLF
WGtqOGKqcrACO3e7MozddPb3PY6HK7kML9OIAHkjjA6DLGPXUCTDVewuXaRKJLtyEG4HApS7PjxG
PQESnXKQ5+ESGd6xmov9WGsnnP47OU6mRdYHwSKWK4cVOaMwvyOMJlKdL1hiBwIG6GFiRFVIqbvX
CBc+SZC0T4taqNGQ3xMrbEnOYiKu0twN0pyt/WG0vFZiIxg7Ko1MNzPhTNCSuDi/7nzNsbAaG9pn
NSMtU+JcW0dyEprLsKtKZF1TldwXhUJ+m02s4yZwSGfbKhqRO4tesy8AE02oqwmYg2Bth+ECZ6tm
381qZXpppabrWppNY63Qks8VMQQMiCvoO1k7+Qt5NKSTXanSke9fsr8mhl0au30hlkMIvD2TmBEG
luAPassmpCLVk10HHc4+83qN9tmYAqvZq1PB5iaYtCvYOsZ4DhW4SxWq2b1Tm9auR43+IJuKft+T
E0Go1ATutc1Z8RF0bdQuGuZh3thMjxFkDo1zi56SGFBYAkvSKVF7lmPI0pLdXxUE07ZXjf7C6Tpr
2fIzP2Bpbh4bvD3jhDpqGm114VQILtVMWcKfgGGS9sPV3COzl1HJOYXiXEHMIyAkJvPRnpA/FWUG
yTDRvb5Q4DxE93aGkpdfXQ+yCX1ATceJ9wcrwZiO0c6cu3Bp4VJYt22q4K8lfLgJe5ZfU9WsTa3f
DHpueeGoNpcBvgKmodkxytMj6W/5Ci3CpV4YWxvBkOeb6YaGIvECTT43znDdKlZ/GyBxfi2ENT1O
PHMYzdci6jwjowLyK+VGluB84TonuTlZOhJLdRuTwIhZojHLL03TvuRR/TLF0x2oFK/W+p0zZisO
EODM81of5eNk9x7bwA04jcOMKTGo+ycZL3qVSat0UJiVYmLspme45sxYn325U7zBTDUmzgFvwugf
DDN6SmdTX5oNcckYRvAVDvNBzdStFqhHs+y8oUseSn59Tauxz7Otpd+bq0C1N508s1dtlkHmU3nL
1UIjeHKhNLm8BdsfewqBFoZlnfmMV0YHlnlEnIU9yCdArpejI3tVyF2+etmmeXMcqnYfqCMXM2mQ
aYWOkMU/V1mGQI+bSC4sckbRzhJZaZfaAcXzvcT4JWGt1qnBZV6VB/yTbq86h6zrL0MHc5JaLlV8
k0z2CdGYEmURk5nhdjXJHUEtXyRS8rlIlM8wZXfAFvZFau/iTrmcB8VLSdsr0vTIttet0mraz5bF
3oCBts3uv0qsDZwtz6kxwoQsf5m17exinrbVnOe71i7Y0ALnkogu96YgzT0ErMm6chAJN4p0NU9Y
339+8jIH+a4WfDt5Aa7A9KUg5E/tD+d7OCmoFcwUaU2VqEtM7NPS6qcE2UmfHtoMlpfVEwVZhBkT
/vmFBrO5rKpEvrFnO12wJr/q6vggj76XONa9PLbrKjRfc0ZTKD3qehnEvkyMn7wqZq7p1KcD842G
yA+bwSLCV8+y2w15bU9k2HZuFDd3Kkv+Za+0mquggSCKxB0qaqytUiIJb/18jb13rer9OVWLdZNZ
X6Y0u+6seNehGZqbdFd16sEqi4PdqM66HSbiuaZoo46hQXMKzA0K4CrU43XAT8dr5OZKnzpktKG5
k0OH+xouysFvSc+J6/E2jnodtRCOM3VSTzryULcysdCOUXLsy/kixEObDMbaGJB3R2nFglrE5dhk
RmY2ekAiho2gPKBs6eEIE3CUDvu0yzY810jAKZGrF1PDerw+JXF6hdMb1xPhK56ZSxE8NBYTdX2O
NKrNbEb8XdfxrT7pwMLH6NGRrX1EyhKuLiTUeO6SpBKxmWulzMCtKg9xNnmZZrp4xDc4II7YGL4U
jnWQK7lfBI70xVfMeVGqZNh38E0TMBlbqRRnWXuILPOTKqck67CLJtjvYcpUxY1JnVnqYXDSZnzC
RGuIVOTY3pC82d0VOBX20JlqZGND9nXK9l0Z+X6G8n1l/3ahmkAbSd4miBVa5IcSIZ7rAdxsRoJl
F3lavEMm9ouq+/vJPN8SqrWCDA86kQB/CW7R+15FM8Hi22RiXaRmvJDMExqETVReEc7FlZC6kVmt
nHj5ixvwbQzwR+nz51cVn/tdh9SVCLl1TZKO8pRfQ/THH8v/4an4iU0kKApQW+iMjXuc2Nu+I60b
dQFpSfkg4j+jws3r+VMhWQcm2wxfsnCVOoPyZIe6hZY+vjXtbPCCZNpbqf5g+ujBlZSxKVdTXmDU
sPKlDfLCU8reZvI7TdtutLSnIo/bFb5ZbRlF0TP9VL2sZDP0OIEnZHym7LL+ve70dMZbiBQl6NVt
FmjncGq/4EPb8FC6AQm5MpuhQfEbbzQ5lPC2UqGAOszXjLZlt8LCgitfWPWj8UoNczj7UQ+bPzAX
hPrtuehfqwZReVNG21qXNjhRb8Y5vtflZGe0BR5NkboR+Rpo3DZCt92R0DTHe8yoXj75qqcx2uMB
k3DKyve9EANFcXa0w3Gd13hq/JkrWF4mbZChayy9Is7sRYnF3atT/1iCrQwMi2Aoc3btYLwOTWJE
x1K66VoG5prWyu5stWupjIg56IpHM6jIT8suK8BPkG1bhO273iAAEUQiKnGbE5HYtHwKN6OPqK2v
u4vS5BlJYviWHeQLC5zO9SMbCZa+Dkr9YA3pr/rxX13jdBTvr7ZBp8RQoZ4f40N+Di6kVbWv7mDT
bI2NeQBOGrrP6rDAF3nMPw/7n1/rwl32fu7w7xsMkpxiEgsAZ+v7F4f8ZOeJrUtHoCyL/KC65QrU
urKX7q2VvJRvT5J7uO+XdO79I/9IL6aDvNhFK/8CXkv2i3fz/YPv632nIdg1bM0U/IoP47kJjwG0
QMG/kc+E/OAEuq//5jz27QO/f40P04+5ztgQhWnIw/UlqDfOdPnzn+gPP4OFx4/ROu4H7cNvMxvN
Gd9vxcNbOlcO94NBzfn1hPqf7t/XL8XFI5ib/3/ad/Eb/+v2/eYlfMwe/9y5i6/61rmzamYnrBqs
kxHhfK/QEUZLFtA8sTBmi6Xxt84dN6UO0RjFN88yk/QFLopvaw0UOiw82DVDm+eL/h6axVDEI/GP
RwvgZHCSDJ55LVp3MA8fLo88tTU55W2cemQnjRdr2i01zybOc2nXpQHkODSPRDJjHO+77ThMyqLI
VHOp9M6uNRLTLbmV0blMN0g6qnUXZ/gKFHjuhZkt4658pvRWFPBQ3eivTbPoJE+TurvGhiYyZfGw
NmvTh4E6mduYLtisVM0trb4+GqreLYxADVejpTwhLnyV/Q6FzZBf1GqsUKMVaK2x2lzhiL/E3mGK
QxWPXzIwH05JVqyBaS1SR5CMO7yfk1MSl867ssdkFQedtFFiIltjIbmxu+iLkqtj5zU9g/82j/uN
CccPyxFSy1ZLApqGXDn5akxcX5fz33jobiwFRH7Jy89RSt1lyVg+HMSuM2ZsXFrCgKINx9TyT3ER
7kir3rQ1oGe6xcc21VhyBMDUi7Y3sIvEVwU1L8pB4l1kwqpM8syjjMDKOVRY03bMmTt8LDWMnKVs
S7fl3Fw7db3BCWtvjWo+kzg1eTh077XKei7q4qJCGUjEVbhjAXE2Wv8m6AUZY6i9nnSVutS3cucc
DR6/ntpIJuGaurUu0+JTPKQ7M48exrht3MmRXsfADkm1cFZR2n82cuelzK1qq+hh5MZ5a6N94seC
fIcnXhiEhygiwCepmogMxOJsT/FdIqPTGrJClOrGuEReMGANx+c4N8292TcPtomhUldJvQ+ibjEF
Uehi/6VadJJVJqdACWwT1bk83hT86tM3l13Uyy1aHaV3zRSiRKB351LY8mRh0Ktx6ull+4nF9Jcs
yPWVrylfSmHqC4W9L6ez9IXhL8itfmUKE+AMa5+XV0dkXkwF5De3YCSMg9ReW0lYCQOEGQgrC24E
fIYTfkMd36EmDIgO4qClEjcJHoHmlQWzybtFRs69X7qlMDFGswVC34dCgDcYExn3iD8WBMkJ+6Ov
VC5QMG0x4IwEK+B4oT2eNDyTKt7JEA+lmdhbCU9lRxWVef5wdPiejd5el8J+aeLDTDLz3nKyEwbZ
dDFo8eT5eDYTBcm+8HDm7SdLmDoLMlAWmB6cZWM5jMwccM1tDFs6KY+q2q0bKbttcIkmVUBzV2Yb
Bf9opE5nFT+p3g2ocYXFtB7HU5aq8DLk9CHEjmqY+GFNebC25IIeVCe7iNpynQoPqy3crEWSoCIz
aYGCEK8rhtdo22F/VbHBKln5kApfrC0csiZWWXAu97gpCOvDQ0sEmuONwldrhLrh1cJrGwrXrdS1
60AngpJh+OhK6GQG07+fhVe3KvGMz9h3Z+HjxQhFAG6beiU2X3+uXyrh+1VnMlUrh4w94QkOhTvY
4cfq9hiGVYzD7cACSxNe4j5udC/pAXDQO70SwLfXMR5HYUjsuPAip5iSZczJs6nd+Bhj3Fr4lqs2
lSBxKFf0DCDa2HkFWn6pCrezgu3ZdLp1K3zQVW77S7WB+IRF2scq3YfNUX7zTpf2LqpDYlGt7DLF
Xj1akbQLMVxHwnktt+POxIrdB0KUNqqGG1ekd5v5kCxT4d2e5fA457i5DYQPnlSnr8Hs31SYNjCw
qwkfDhf4GMZf6hIOYYE/XBZOcZQzqouiUd4PgTRvWqwd+AjEMg/0KB3cUhKu88QJrkctWnbCjo4t
3XGyfqWX9Y4RQshTIAThI1zs2mB2mFwKY4Xo/lPGcptd5WMFsBeVCS54Gzs84bq3zO0OM6kVAvO3
1Ht9VWOgJ4h3H2Gojxu/3cxcRBAxTNJ+sN1PlvI8Y8M3As7sEWM+xfeyUuoXXNXHFuP+jMHXEk7+
ZmJ3hbUfII3nJ7hVR0z/EL83FhAAOaCP6bkI4IVwcpe0GngsDUEOIIfwpgQlMOvGS9JyUEaaWTAB
sTbc3OOiBUCgaLilx8Y51Q4OQRVIQcp1yxBTB7QjzHW9KgE5qS9rA7yGac3FmibjkWdnDR8l7Kin
p2Ipg0072eRlEBQJJ75u6k9RolwbeZe6qJpuFat9iBM80TXnAqosbPUp6b2cIAp4AftJ8+1xXaP9
5v091TFIkZxRUQOIfOHEsMcxnswXTFwMT2jYeeYdB50/G+Axtw6CnRb+jlZKxdLJui++EPswBf6i
hfkpjp3G9SU/cdvePyql2S10EmVXTuH0XoDqaOGTgy7ussr1bfjUlsxdVtJqSeQnFF2wmdhRk+z2
pEko2wcpv54KTB2RFH8mXO3ZgC+ohRlTcD9ZU0fwO/D7a8UoFRe3iLWbJYvoMMbCHOJELlAauWQN
TIjhlebkzDpj5ew1YQrk0sWeRosNdSMFB1mLMtdpy1dbAlok687DgPRhKVVMPYLcfExCw1iUgfRJ
rjr/srbzI6c5UU5HnSDGMNINiYkyJlH5LaiRgZ1IbawjmWaSUNx+xl/qEO34Vj7+U0cLNc9f19HH
xzr6kdCdL/q9jBZMM4sVGF2YhdKdP/q2AFMpo5FkqqbhQKECGP17Ga0Rwa7KQq8DN/3fJLRvZbT1
m6BF62zGmORgNv5bgWQAyj6W0QDgUeJDYBTvgm/4fdtqs2MzTUmeT1oW3lU8yQnnnPJFLlQQypyt
SCxYK6gkjEliOOPcZQWDBrnjhM4c8ya29aNWtNsMXUbV2ygZLCuD5BQxVb5NC4fsJlW+DKS83rZY
fqC8prH0pILPQXeuaH24t/yeNHcjl5HqQUzZNByBy6yLu0sZNJJXdOb1kIgZRT+dHIOqdcw1rwyh
RFRjcTNN0l1h5Lca5r+FzFPRlWucdNJ0CiN7B3vXm8LmuZ61BafisAhi+aqMVSzY0p3aN7kXtnhI
/FZMO4lF6fz8daoJNwpVZeXroJ3UmimRoY4nMiUeqxRbnNFrnUei4ZdqyGavlRndO6O9DOR2cPEs
KquEqC2KY0mftsNYSC4Qqb3SWSdKcaQk4X7uRGQ3OSJ9FrIbUPt93Zf3oew8SLpVcPxqlwkZ9q2R
3SURQUJ1PN+29bDqO6W8UHzKz7J4VWWFEUt05XTCe6llhzLItko23SVNt5eK/lWuMV/K0mS5qqZ1
lBMc4ZKUtOS7J5uqkUqOLpO6oyDzQWUyYzC+OKno+VF/V4zh2iFdhAVSVJG3W8SUlRka/qVNKeTm
I0ecKVvP4UTGtgb3rPXJ4G1GNka2ijdH20DHOPkpUY0aMzWSs+qqpNbmUblukYclCyPNtlpbu2gy
ed4BAdEKntthzlNY9p8SjbDeFDWZDtIlzsfHwEQxIogbBV0RdeBAeDAEq1CTHuU6iN26pwBVEobq
kOuI7bSPrJv7pS033QpFl3lIB21TxrlIgmGlpbYZJCo1YKtmObE3190m7MfZbcxUx3BleTa+VPz2
4IZTrv+LjgWsJelbNLZ3LKY3cqfeDT10iiBsZK9tVIUZjhofMHhgZARetAyNbKbvjIHRjLHuarrk
Q6RU5Ity1NTL/8feeSxHjmxb9l96jmvQYtCTQEiGpBYTGFNBO7RDfP1byFIkK19m1+1pzcosi3Qi
gIAfP2fvtWN9dmJi6fdMNEV9eJWnTUDysf5KO8eCeTbGZ8fQewA65np083XXNiSDjHHmW734NDbF
WpcxbnpSlb02XYUR9zPJxuyMIAhcR75581L7wQj7Qyfmu8IPFRQ9GHu2czNzf9dXK42BEGXF085Z
fp+aXyxQMb9qgP9gCSKSyKlQeUeqDG3eLzGW4dAAIzHPHEu69DKWd8L7d4/6zY01d91/vkeVRfOD
bs/8c39sU/j7DRWEJr0ediui+t5sU2SI0Mn5bfv6juj9Q6aBhhUjlvZnRCDPxV+7FKZ+tjT0DiY1
N378PxQrvz9vv6lofqwwNT7oHWn20NKk4Qh/wEAzwhPy/vFIaiXVnUmPzrkKZ+4YIfF+GTSVMseq
hQgv6POtq6mr7Bc7MnuakYpAj98PSv9cT07z4EVmcet5sTX5RHr3xdoQTvvYGJ2GUxa7/cqOaASY
sfIw6Lx8hpDsnEzXU18f7ItLsFsXaudO2nccV2aoyqseBSbftBu7cfMVcXBAgfKYFygOdS21V4MM
lp1SX9FVh0hEWcd0VUIpUsfXtKoZA/SQFBnSwq2mecGs1M2wELjrTMhhoQjHRTLp7cywrheyD7Zl
bt+Y0rrJY1tbpgZTwWA4TW4dLj3JviSq29LQXyI3IacrYK8QIukWGMSmjRt7uY+Gga6Tad0ktnOQ
boPIkhBhW2SHvC7gq6cYowPk/WbjkFVUw5HK+9L1yym9kVV5X5lTeTRq8oMmgS2VkhNwWT42i96U
+CkyyJUtxDF/EGF2IJyJgJXyybAr6TeaWi47tf46NfUIvHDIVm7TbbMm2aiIYjX8xKXjJFh2Pd80
24E4Y32NWRPkZMJnQFRD74fStbax4L9MOXQL4RUPgtYIxtFr14yWbpl91tLozi5AmbRtYh4CK9iB
fbyOS7oJ0nLI+cpR64Zk9IVzbgpelJvItu/MmjxhZiBf7ELsJyQe5egyYlddZvrCgXIui4RksGEv
ELi2MzTdLMQmixUm52Y3+a0mQTGKh8QGvmXbfbzGW7yyy/YW6HjvKz1VAC2utVk58tTN2AJnbNCw
1uauTe38ASnGsKzT7noC1bywjOgkpo6yRlEhMIzdfT0mnwLZM7uIUPpzbFw7tfsIMfvJCUJfpyDJ
8pDj4/xnqPJGGd11FUznLI1xr+trL7jwsBYnsD2HzEsv02i/xDZOeZFO2roeYuz2GLqJtBj3rc1j
p1nJodALNr+aP1xxHxUnUhatRRyZlsADUup4nfbpySrzs+EBp/bsi2xw7XMEY+DqmGvFqF7Im19G
ln6ft1m4sAsStqR9HuPeYP+nNPEYt8uK4jFo7tzE+WQrw7G2u696kN81rbPTHPuQyFTbqZFDRE7G
Ec4quA+0IL5kWs9XbMJi5w4ZDEdhn7n4GdoePVU1EF1Nzc96oF0YMa1xVnxSlMB3Z5K9E4F6zI38
0naFiwmZsjNvxWNkM1Zg29QXigoRR8k6eELRSM+C9rfv5Pkrnr101Y7ZtdYET/TqRh/ras3c0tx6
7nTIRHvsNA53nfkMt+6VavJqsli016+TMl5mgbeLyvbckIJmGuYWMmC6joPs2FHbL4TpivWYCsBp
c4AozebRiq48Qnj3sVaLa6SXQXM1SG0WUwi5yHVjInKzQt2SuI9dThZcWOQaJneUBbDUgDQhd2B6
LgriSQZTvwyjecUMRTtFfLF87rl1Fg6ViSWRqdqtMzxOlQhvak3L9hD5rU3LR7DqMyXbaiBHF4Sr
Owa66SBUF9Juo22rGLg7mWYily5Vba0kyMv/PUp+N5zojEl+sk0XP/L+zT/z5xbNyQ+kJJJVndPf
nAb050mS3ZtZiDUr8ZnLaLOb+Y89muRfRmds7Ugtfxdg/rVHQ7engQeB55/7TOBwswe/G8i47NI2
hTUATGeeC73fo5uJUr+zOvtEq3A6gMCDTgWzMqrMJbw6yVFmCjrkFwqRONnSbQl+OI4qBMNVFye0
RVuyQI7MM9R8RnKxRujTq1LMVaB0ZuKtQqYPAixbb9ER7dukCx/7DnQIrcLQhJyTIk4sdw1AunLh
Scse8F844BQiBXSVA+XR70jC5LCD9ARWSjvvsk0jWwh1CEZAfYAiDJUGt4B6lwj9WAsbjWKOlG1U
byjJQYFoA/4C+oVlke9FFRy0fngA9shL2GGHKct805U73srY20Kc1bGdxD75iLS8BgdCh8vJpwsm
RDDD9Jg73kVTZQcXBohl16QAiqCEMA8tKa/xTYjxiz60wzLu5FM7WBxwwmyfx6q15Ax+aQoxwsqU
6F86j8m6rFoiM6ZhCfAuw+koSLHFhA1WWF8hgIN+2NHn6l35BSjfHtoFp9E6IC8w0L4MQ1kgnGzW
SEO3sVVlfq5lB8hlpR/X9QMqUcKeqv5ALk3ny1jihCuMW4UdqXI6fR2kAcRHkEsB8cQ7M2LmNJjF
KdGLGxzTfuCU+5gTfITBcSHZLzSHJNsu+wQ1kPIhkhDBeL1kKdFqJk2GMrwyg3xVly70h4Cju94O
CWVGka7d0YH7Y7THXGEPS7NZnIVYUQvDRwhoiU+3HeIEnMSlYoeXwUGnhFfQ16r2SnaQ/yq1fgyL
uVOXWntyGm7bcFiRHSwRGRIAJZKbUMhDbBnL1GGaY9tTDN0E0l3JAW5bp0Hkq9hKVKtwcKQaX4tM
a7Ya1TcNjOJkaaLdRAY7rJHeO5b9kCcVvr7qrEQlzkMv1cG/kJ3uZgm8o/yhd3BUIsPtVONZLbti
6fAGln12O6TWDnLLuLCDCKaxi7ZrbBK4Paoe7RGegTD3Jiz5ff8oyLtfJnr7OAT9g2Y2d2bDaRoE
wAbs5jlpLPCX7sK0WgAlmJJgLfV+50DIq1KSEFz4H0bb3QYJ/ZQi0To0ueEubMxwW7XVDTaa59QN
X4hKjtGEQTP0aCGCFzc131S7exmrNuUuatrCjq4Upbgit+NVUJgSpFPpvl5ot+iR1nFt3pWNulEM
EivVuF8MsXHLpNhduhHZs8agnMjwOcZOCQUujddDnD2CgxcbmOqveTgNW+jr207WJj1n1/OFwqZp
5FmxblvxDNYThuWs8M2Gyd170D2XpK1tQnWq54ztdd7DZgl0zvboze2FrfTkb49nTTO/1hmI+aKu
TpSh9wX88SsaPtnK1oavaezdJCYjVtvAp6xlAw7hafzWS6pGKdEvBqFu+qjKKZSbWaDpIFoKsu4W
HRKPDppzgKkKrKoyHv1qLCzfLKJtGg6vdtSKVWsLsRpsj1KgOmqKSZd+oN01AESoZ9SPhU0a/cO3
GgYQsbDbkXAc8R0OBCXImXFBJdwgdQYIuYMCRazjiDDo5i6Ep7AgjHvuLSVHDSEnwdKbESIRGvjr
pA72eZbsora6DSIIlzPCCADXYYRpZCvlXTlDjoyRMkKdwUfejECqZxgSU1J4jeCREjhJYgYmMU3j
O0vnwgqAKfWIWv1Y9g/eDFrqCoXv9AxfguT+PMw4JtCgpIoDaAJQUNA005H3joyr+q/9DHMiBSFe
idHcR3b+PMCw3Whed5v1rY68tnj4TgA3Gvp2TDSiEIvvmDoqYw9rpzbFZ083X6Za/SY1HgYqw7uy
5oahCDKWVtY2vCIEXqPcuUiwbHDANfA+DJeyTJ4sJb3hUlH1RucJ4vraMmdxlMQ8N4EqQ9BgMNNU
d8S8x7QI3WFn9tatXgZPkYOiss7ir3nfYK02e4rofhLbJpX3hphhvc4wcQqt5yD5f6uk36okFCM/
qZK+ii/F5/iHpRI/+EephCWXqEOyaKh6OBC9wyQQHqTjNvEYddJrmpWWv5dKaFdUOk+0wWmyUV7N
8R9/lEpUUUipVLy88A//SSvDsj/oxGimzWBwijGXvr/jfRRiOkRluEBalLOmZEgTOFuq5vQ16BkU
pVZmLzoDC62WrOtxZmCqTBBvvDqH0upIhaGuUwjnJoR45hJtMRrLrtHqRwBnzvjZUjhdMqjPF/pM
5SfXBlI/KdWbsOn5LzosG4b6zPxmov/QxgPgbcVb15r+JMpU/RxWJABU+lCui4hUgL4jn0DOSQFt
wf9rzOkBXarXL+X3RIE5W2CKpHXVC+cqSWoUACBlrIjOfkMkQad3n/IBsKmc0wpo2wJwmVuyBBlg
OEbP4lgrjlHy5M5pB/k8MCWYz9jUI/Eb45yKUKeoDAu0/8bopSuXdsZCn1MUJmTblATNJWkEp8qx
zZ5pEYy3msamAf66UdJTXIXRkrnHNQgGakZdo9KkweNygAQF/bmJ+7XtMsgw24whvyTxwZmzH1qn
j6+EM+dBzMkQvIfVVfM9LoJSqefYSYaELPFhcFuUszknTFhETSRtYfhtbF5VcwpFKgt0NRxuN6Ix
0+uBsIpiTq3w5vyKgOPYuEinKV5zUCZHxTdERhpMQuhFPcdfTN+TMIbBdJdQ9sjHSCKiZRcE0Aa3
FstuZJKU6ooHW+xELaEpNCRXBLbiHmOzR+cMm+KIu7VhMKjNE0Kti56zeWYYMTwMccXhT4Soxozp
OdXacBUwaqQZk/uMZg/EUecQK8ZzNs8lIwaU0WQtEa225zGHyZfPU0yzdgFeCMo8Rdq7ep516vPU
UyYjwXpUVzpDUXOejHo1iLjB6qhAxp5A0Lgre/6AVu+Ye9ey182jtErlajQc8kpg8VwsqwG9VjNo
VpsFRa+vNynS0iRrD3XlwankQTsDpLHXdWWhQzI56ioFMIUaKS2y+25jRNnL3MNvVeYRI7kqVz20
7UUmQ403e+CeSOJZK7n3RVeag53k10UHQVgxjk3poLrWlfI0KvG4022SPVFXbBWLWUjO3OJOTYJg
5bpfW2XYxxnydNM5jBFUEPj6m2oYVzb4Oa757I7iYOX5yySVvaXFhzwCXhZ3VnAULltibpfkuUfh
bTQOITyNbFcj20orbpIb0THpYyTaSLwWQA1fww7fdGvHZwK8JdMvWhZKK3Pf9Spfs7Od11ort65f
8xoIEN4N8O7fbIIFO7AU9D7XIIZ9VTIyCHWGX8wRojLZOdLce5BMegzU88mL8faQ3bsgTWht3dtS
dXlIvcIGp+rZV4E7fSsr7caaup3TQXHO85VNueKr0bBn+/QTKV8j20ASJ1dNiOUlAQvcpOLGLfQv
HiUknBDja+uNNyYc6mVelQS+T2slNeG7Gz7yesJv8CTgI/DlpALsCPLPYIju+vl51NJkV3fRZSoQ
7iCBIAVohwBp6+SFz4uU9oulXudiOI3V6Os4TkTQLRWKUBKnN7TUtsB0/LxMEMYNa8WanRp6/Nl2
kXYoZCuSR5NGzmosi7MoVXcl1GKjtaQNccK86ChvYhluB4pVQhYPsEzXYxbDmtMpQAYKu/wbgDM/
oCjn1O4HbUZR+bUIupsBG1viqtuRmhOs9ZNVYciYjKVmsgazLzPQz2j1b5vWRsVhAeIbqOC8uyyZ
9KWXEY9SAB7Jzdr3Ao8nMEAL46hr18u/jahiecOtgb3CgXaXtgsHP2yiHcO47TDVT6rW0ohyb227
fHKj5iaUmEvzLwJraKWqeM4GbeEY8Tq2y3UTjLP/nNjN0Q+N6Jq8h2MhjRtacuQbcBav1QXiqEWp
qlvFk1u3gZ0dZbeJVRxaS7unAbxwAioc2yo5q8t9o3ZrvoqnxnPXmtFcGcHIgtUqLPnABkEWfcVR
hDb/574rnvhV0G0hmIyNySkpiaolUHt/FP1rIxomiso+a4sdagoOJ060kHW6jojhW0RlUJFqN3Km
th3yGeRj3omXllCpsXR2gIrgehHuVLT1VrhUiYRkLiYLrH4in/pafSxqlIsgtQNzoCfX8dnRYxAt
yhqLp9PZoG6/Jpt4X+KKkQqlaOxs3SE4Exq3E2Z+JQONEAIU7aKL13k2Xspg5h72i7J3qbO9g6EN
zyWH8bFmwKp77n1Q29cN0jDRWDdEJKkLV2tuO8ZpsqTARvi3EFZ2yKzwirGjuujB8Nbzi2oqnsa0
3eu1tSnLWc/YM8Xo/aaflQYCGqO4n0PyNL3YK7oZnZWAISqcuuy2gdvlT3p7VeMVmDj7SSLEFCX5
QsF7n7Q5wESsPQsPkQ69Jfra6TIpEBPG2hc7Z3jZVk9pHe1UXTvzvoWPVqeoAZo9GH++l5mT+pOq
PUdWU649I73La9gK1ZBuUkO7wBQi6ANVkih6Y81BaRuguu11JV/FU+FLXK9O2Ie+NurLNMNJFInL
ENqbJBhQnI5fSgWXZJO8tnQx5gB2vgEgixLprLouXNWkv/oKFULadn6esUkM6Fql4gIesdZNzPlP
OutYHVYMZXn/NMA8w2FaD7nYj224r1tQD1BNFzV6MNHQxY4JQYmIOBW6ybMOntJk+K4VxFa0x4lB
UlOXnzt3Nn01Hge94ShNJtK5yvb3pqT9fxq3WkiPdRtc7uwjmEXZb20MgD3quouFclZzeL0czNMb
Be7lzxd5L5/GEUAZilWBmbNBHhRm6/eLgJpWbWjfynlwP9Uwb7vnoSAgaZmD2/v5Sj8qeN+uNP8l
bzxARVCM2hSwku4Sx0tT2dFW07Qr7Ieke4kL+xcukL9Pkrkwvk14rWmZo655v5yOyNUNsiK8SOWl
7fZV+Flkn//5FVEtUyyzDBGhH5YIONap3lhGF2mSD7fpxnGVRSgkwk2MeERvTz9f7gdXRBAMhxbG
78w+P6aQzthnfVTb+BILPD4G/D4S1NNfXBPd4zfd2+/Pw7tF5n9/c5eaQGktO2CRhJljWx+IAV3+
/13GfJlvVpDtxKAIQsGlLo82nr6UcGGQ2T9fhDn1Ty/jw60p0zEtZd7ElwFGC30zL76QicML7tli
BIoql6SIn6/4o7sDbp2GN4QlC5LB+8tKY/JnBLL+i1NdQzBD/b1zgm//fA0DtileDJ4DVO/v1wgs
g/ASWScX0USr3CYhjszk7P7ni/zoozPw2zBj14hW+kgXKfrIceJ4SLg/z8I+RJwUE14GXkCE+N4E
G9kH1z9fcX6m/poY/PbMvV3xw83CiIBbWBvByqP1kc0j8Z6/eBnMaaJvlmAiAiLCARarIxuw+b5+
ePk0Be3oaNDyS3JAgrZj8zwS4biyrqMbyxereI2ee/3zq3q/5N+v6sOSBAbkA5jN5CJt7IFMaHUy
QfRi+/NVfvzZIYdQ2Tmhe314JOwJRmSLB/ISVJ6vQxB32198dvOn//HuEPfA0+YhzUFv9P6hKxs9
JlRBSS4OR1+ALVSbLzEhXWGS/OJafvSJvV3JeL8SJ+KiZvCbXDRae+61FdxW0y9ebz9eAialRnA0
2rQPj1qspdI1pzC9CHG28OUNsb6gZfqLre5HXyEetj9X+XDr01pG7RiySpx+zhRs0Mqqpp/I1CRt
L0q6yaxf3KO/XRZ4YmibhOayFaHe/FAq6B7DldwpsksrN1X90turarr5hw/ahyVos719bcMD4gON
CLSjs7nQlHA5QrX6b5aYI0Igsnj02d4vkQxDrmSctC5N9lmZdkgpfrHA3x5lrsE1mZxS0uCxtuYS
5c3Ww6vT6TUx5RfqvLwj5yPZxYA88AN9v5B/ZdA0PX/WlS1E+xXuBg3Y74Sh3Zf/+39+l6bxc382
ZUlahGjogIv+Pr7mjfanElr7DzAfbr9t29ZvXO8/5tf2fzzNQ3Y4OwYdftsfHVnrPyiqPbarWV3G
N+4fdWVJiuYJ+Otlh8AMqi4WM0RrSBCB4X745uZlZlKmuvYpNya5LvFQLQvVeXZcghCd7lFv7ft0
ug7m9LdKW+mVe9214X2QTalP8wrnHyenSoxH1Cuh8tno0/tc4UyrGXWyGWvxyW5ppiL13JV5gmlH
ML7pCvq8NenDOAB9BL0vClGFn7SW0CsjyPoVw6eAEJWErATcOyR9XYmeKjMxoseco7cYveeJ43lW
urXfx9XrmKTXXmS81rb2NEh8S7RojsDtC3/EhrQsq2TfdfQ8rbyQj6PqvuByivei1IKV1hNDrJbJ
fdplL+roTDt4prsAwjVt0mk7VfqLbPITjkR/tB3ce5sUOnjl4VK3kv6+i+JnN1a2vVo8NrUSXjl6
ufQa08+FPGkJeIxsPA1jfJplU9VYz9E50ZcCYQwzfXI17P7kzQqhItZ3ZrGmcb3AWgI953Y2ndPC
atPnSsdLxJ+4mbMSF2ivlplJ46G1MKqkic7h2gwWGBGbLR404Qe9wUFSOdh50W+L1pF4z7tVXyS0
wOwDKRLT2iQSx5dZtq2K7EvN0W/Z6g3Kp1rd1PYU+ZbsLqPrbdWEBo4aSLGJBE2smD5vJlgPu1Jj
EcvpOfUndRpjbHNUTe60LDi0DjZ+OYJZDhyvz1npnfLSXNoJGG9iQA59OJOHnSWZa0BfTVpimWoR
ijBrj0LaXL7dS0JmU1AYmdNgYovbnCTbkoct9uif5oRatM4rrVOyx1Apdw0dKNTec+P/unfsxndm
n2llfB71pPLNKrkRGkqGiDunlMa9BdG7yrN6xUbpHipF22VucSyT4QUx/kPUNJ/gA6A47sdgOeF9
ZTbcJbCRGRenSbuTY1ssJfAmohvnwAuyeeMovw4a0/BTOWxzrS3WNTKQBaKzfpHCWNTjhEQSOpMo
r4uyPJsQbVNkk5aW0ZujyQeigY5aZtwmk3iBbLVvtf5YTDpQ8lZcEd5yUAlQ13O4PZla7lzpfkqa
cOdFIQFEOgmMQBn6Jr4tO+WeQ+VOFcVVB3egsO1dSnYzCq8X0WT3dlrxoU79wTTqPfjmYydRxdOZ
us5yuRmC+GAS1Cimflt6xU6bt+/R3NJsuwpNGpP1aOxLKCd9o17UyMzW3VQzCW6feodJcmNODLvb
c9nh5hwn56r29BsrLvdpjAMxHTGIZjlYTAlsRa2PYenQcpSMI0jDZsBx2xTNI4PKfTAkxy4yl1E4
3gg1Q5XIlz7NojVb42OYOhsrLMhIjd0dcTQbW/ZzznF7NIQX+6iArk06pAzGrnNFInxUwVl39Y6A
7id1gLqA7zFbenp300fWoSMUYAHJB+/alD+hPds6HRPUsV3qw4RkhjGCkdkvk+tteqVftR7D81g+
CzTzjaV+mzBcEgiFIgSBXKxSiC+ciYDHGx2enZ+5faav3cLi3TcYxhWZRzCn7GzvhR0U53Q3tF27
UDAlRlF0NmW2D8KxX9CCOva4WFexJz7JGJ8u/r+TonqbqvBONW4wFHbDOq9UbQUQ9iGG0DkA4TJS
BYdEcjvNtxBB8yccznwbwxVa+r0WKo+DKs/Q1U8qrMbIdsg9GvtXXUGcEpchLegKXUTLvag1ay26
MN5Ubv6CT/w4eoiS2rjepkWySUXZLxtbe6CvfFU1chFFZCY1yrVEnuvr5p0TdqBFpk9J5txOVhse
hFWVOzUMbspcHJXZ6xJU2cqcrBdsaRtHDxamgdAzacFO9fWgb1OERroefk2Z20PWKdT96IwHpNj6
WtNKa0266wbENZncWVQiUqbZbYfqtsm7p6aPbysEWGMX3gV1sxUKgqOhdx9EH2+45juy6x/bKpK7
wbykKQ0/Vfp6YmPDzIeNZRbnvg3vYnVqlq4ttwoUlHaCG9rY11OmbevQ46PRzkpVi0VEW1l2+m2a
FfDXNaykLmbuhdT669Kwj03Gfr/KGkXPVl1fxQ9WHre8/G1nrwsmQLmbyXVU2SQrMOKKXcm3E+UY
s8yFXXNJ41huGeNvnFB4F+SyLmMYKVaTEgMskhUANIluVXb5J2ykK9MWyZodhkkX0vRlqeOCZOJm
Fe02iEj3GWaXciE9eZVkA8hcZfwm6oaJJQFZ6Qh7xkhqbWHHuHmsLHuETa6jo7Jr2tHoNLWocRSC
RG0csnl4YHBSnkWltU8JDkeyLaZaWXdub103vZjo305MMHv4BDHRGKa2KvsJHrimHBiSXkE1uuhu
ujaHZOXo00NeBTdhVe+7SmfAawhfz4hCJ4D1KeitZO6SrmqtARySYvE2UaQabftJJoRLpO6zGRhH
2TOxQ28K5mvdBhZNouaOdv24dJ3olTfrg2rUW0bMZ9UavgaJsSdryYJ+R0M3RovRKMZTOVl7J86P
wAoNdAs5IXB0ikva3B1bdD0y9rFrcADIzzKCS9smjQmymHZlaB+sId5qNUC1tNzlHoSVQk2XsYPh
yU6Ma6/Pb1v8YrIYATYJcSeg5CAYS/dIgXaqqhw99ESUQht9qHZt4G2UNNqFTrUPy/bRNg2SK7Wr
2mCnNVyIcOVn5EoQ68PrIaBSGJk6TEG0qtEoWVX7NSduWBHCb3joBoh/nZd9tg0VhJwndoUa3wBh
WMFJ9z0T1aGRk0o1qLdNqsx4A0XxwRsuRidcgWRaBxKF/ext6ryGRHptm3f6EwdJP0u0YW3h3TeQ
yVJaVAsoeBVv9/QpMzqfYCcwsLW+8lLOml2YAZ5KHsju2BjudFElrMS01e7GXlsbSflYQAFnqAZu
SpHxl6AuJGEAfbdqI+PUW+opCI2XQW3tFYeWlUkwaELusherHvBpOJHp9LUcrVNbalxxz6TU1nlY
wqK30PuhO4zGUlsFo+2eC624EiYqr8y18b6p15mpHLIW65MSGuumYdwcWBES/4bWM67yZ6tnpuvx
pqFDPxyGwWWw1hePgzVdl4r9rOtJsC7j6kllWAJktVunjSS2vOGq3UDbYizG1sT4TxZetA3rLPGt
Mj2WTGBT7NlnhbDhUgurpc5oblnVOfqdgcSVEb848vxvI2AITVa3YTxgyJ/yHUouItjaDrbfvGtb
5tOg8UVLVPhD9cCUrBrNk5bGJ4TqvpmY0c6JpuZQMnnBrWE8kmwcXvV1cO012TPTdHM7f90BG9Ln
EuzmnOCNZzdCwl+a16g744NnCLJNy11Yqnc6mWVTYamM8wjPVguM8+mhClWSSk1YHVb+rXPhIsBC
RWLk3qVtcRWju0oRacqsJ0lFb59GrbrxBkJ1RemcEi085fgfMAePe5xiD1XmPZuDcUN3u9hbRiJW
Hd63td6az1Pu7TxIeX6ixijjJL9YqbQ1VAlMFMKUWyKokV6g5CAB0cxV43bQEp1jRF2joQVNaeoI
JA1bWelaDBX7n3UiTA51tmcDPmKPR0CjfjhA6bGqDrou4nNScrAWx2YaFp55++ZYefntPPYWk/bh
HP/7IvA0saIxjvsoMU4DaKZK08QkeO8UcVQJFVLMu7a/+/kyH3prvy3jYIgB6T/LED80iwJV9TgF
qBTu+re+uFeMXwx4fvD7HYYTAHTmzo318bNqvNEuoMxkZ9HzoG3d4PUf//0wk3Q+IT6oWbf0vt0R
OrNs1qrys8u5A4LK7066/5VW92Gi87fP58O9BlKpIarm8yFwTsn9FDuJA958MXzNkuXPL+UHS8Ee
suf2jUWf0/twKzIXFWcPPOGsJlumba26KJG3mj7bMAD1n681/9l/9QBwmNHmfHtb6Da87RKpWpxL
x86yc2n4qCKB2vDV4p06yvXPF/rRRb1d6MNFCSfxGFL9thBaZWjAQ7RmH5m34vIXz9r8R3+8KG+e
8s1gQUPX55blm9aXYQGmZ+MV58ZYB9mrHFZW8Pnnl/Ojx/nNEh8ft6mxqJUsVZyF+5oEz6byXzzO
szXdMWebvPW9d/PmEgCDWK2p6BAdeAMiq83G/+LlhbBPJTgJ5JVh6/r7D0kogvre1orz5Lz2zqmb
dfjtL95dP7rpPMSOxXyFweqsSXx7Iwh+LcXoTvkZ/QJKqlkHb11LgDYYGIxfPMk/WMtVuQxdIwSA
YY7xfq0ocGmyJZY4R/OZegVIMYJ8WqF03ug332/+vy1Pkw/1fxei3ravIm6y1675e9Nz/sk3Tc8Z
n8ZegssGjBpfvzdNT5N/0hlRGZh3bB66P5qepHLNYdb0ScHVzN3Nv/qezn/m7iRMU4P99h8ba433
E4vZWAsalz8BIiisCVOdn6Q33y3FVYy0HrLi3MEQmo6JXsIp10w10Vdtm2cXB2RIi77CwvZXXeCK
fDbDiOOInt9JLSOuScsPlV4/4zS8yhpxE+cxQHC9WBhJcHQt60hkaOoLp9+EBsU0KdMMFvtH9Olf
vRi1YiH1pp/hYde00tbEngJfAO/SBVG61M0OXEGbHNtOWUAAh6dpSKF9IhiEfMU+zNY95lCsgo5R
x1d6arch0CgF2YYqPUg7eWkkNrAs1SA2WpY7J3byTeV4VzbHM/POCFqHqJS8T7ql52FAONRJ3Dwn
fSCWHUwFHeSCTPB5dkjnIaFDZfdgjq0AgSt0N906wTHiAFSpalosq5zxMEaffvjU2Tl6ukw8OqXV
+W3Ub1zCTTeE2b6WQREsnb4arhM369dz/4l4sgqVIziakvNYNUEUjiACFYG819XgQamnXesoN9LJ
fSH7nTmKpVTaw9BbBChwandL268z/QYHxCscHPi7nFOLtjt2jhDkz1JfRA6NK0+7kZ2yszV9JYLq
5IblN93A6av0W0rIK+yL2zCoDqEnTrk+nLqCrubY3HhRtqU7cJ8CzYkAhgZkrNuRJLojK2+zcqI7
gc+xVDe91dzULeLAod8ltom/ia6p5756bnOVcZqBckNdnHjfhFaszMw+GZxwesIRzXJC/Nlw8mwu
GFKf62ZazirDEuqNcKLTVFDIjCNBKYCAGnPbDPrj1BdHyVEAgtaJe+mXSb/2ouiUBMWpMbw95Q/Q
hPZ/2DuT7biNrOu+Sr1AeKENANNEIhsmkz0pkRMsUSTR9308/b8hlWypbH//8tyDGpRt2hSZQMQ9
95x9LlI73ddSe4HSuqOb81yb/WtU4Utaf/WR4z2QFvMTYA9g3C71seuZ9LSrwYi3S5NetUhozQIE
Q4lHOzaPebr+hgnqgMc+drq7cXF/eWHz7lmdP5b5J9xrj5UW3/Wx2IW1fWlaLvyJ4kpLRxTKRb+c
rPl15JvAPkuQu9QvwxEOmaP7bdxfRg6BymQ+TXN8rDpwe+7SvreOcTd68127QF4Oo9G+Jcq2T+QU
X8nQOi+2wYlCy/qxyHIadUBLmOTf6Dzf2HNzjccHqYKP1ECJZT52wkdsp6Gs896WaL7CE7e1CvPS
SRimm15uZ0QEJHFnazbNSw9nXbSmBIoU7ucG56MwQ1IW+XnyuLC4xfCQQaMyxRp1sfouMCqV4Nbk
9DQLfMIibme/HkUZGLF+phP5ziJN4iMCQp+e+Y2PqXeT1mLf0f3OwrwCCZgJX3RMRJRin4n47enR
9G2vwoBITpBPB78tw+g33tDdkNZZ/NIC0m9SkhYv3WmN4COPXJqN2EO3wilBsMdgrJ6a4mttFfwy
lNgahDW2aYiDMOnlrZ27x6pPzW1bkZ4vM/KsoZp7YlMDBcgGu/WYZHGa1JdFkg+M7cIvjOpzj3lr
sxj4VUWhrgbdPM9Z8ibNBueuaxyw5EH+S4jSAGS8k6Xx1OOjFXZ0cMWQ73IM7j7qx9nGw0/TFG8A
NqC0JtXlsDWacNjgUm926bBcVo0+EUFKrsFfP45ykH4czw+RtPm8g1csBYB3NwO2wo8mbgrAaEC0
vbEosb7EHskvMV2S1stPsQ1b/t+z/3sIhRv535/9V19qbrB/WnXyNb+f+gaAVJ350cFHY3nrffL3
U9+gEEVCLGVlv7q5OJD/OPWBbwCEYkPKCpKbwR+nvvubblNCDF3YJqGiUcf1T3Aa30rf/hgKOPXX
fSoTCAkI0r+QpH499dumKywbVPJ1XdM6qCMvcD7QRFhTSainzT5cz/m1qzCsh1eN8sJEzlCfqDPs
7DAnOyj4iMENtJezrXBX2njNDT6CxP6Sa5nkuyV0b7S1LRFp3ggafMwZRYqTaV9WFCu6FCwOqYGY
CPvCpSiZ1iQAnz11jNKml5EY/buQJd2/HjaxtbvRkYDdxNrn6DZ2sBjEv+Ak7AsqHzUbDltNCaRT
mzeIftf22g45tOWIA5fKyEwu+3DOeFpt7zanVDJCGipt/NyLTSQkymmeXKignNYuSqVopSy/9VPa
416tjZXmEPmCCksES20XzbRaspyNWYRQxYn9vL4YtCgLDPCuAD0cb5vFjZ/kPJ5N/hpBc+9xpLHd
6vYD7XUZrNB0PyuicI5GPceUHeCXBHPUA9bs4m1r5fqR0pETbNvkQhf2RcieF/w9LM4wY5uYUdTg
TfK+0RMJGqjlRUW3PNCh1rp2c3ksp0HbwN0DKNHZ+ZHV3JWEi2SWZe93ffhCAdpDKrBDJ8I8WEv4
zp2w3BS4hF1PFtuOdS5eJQAfwrIOVRxyzmeF9sAeFJP3bB/Rb+etFdV3IAMOhFQcP7bJHESqa/wq
6ULMG6MGiIHOljoFu4oUGKg4WYImJNlIDenXVkecHRvgp71Qxp3XcI4qOwOZRFu8gIy1Fb2u7cZJ
8zJGPaMgzRKWR0lX6SFytcmfhJsda9eGKGlRJmfxIkaXSvd9ZefNoe2iKrx3J1dc6DJ+i0RVU8eX
eReK65VPZfGxbaIHVrVkVHvjYIma6y3SahcPdjBCWXTHsjqVbktfaPFRzUB4LTWdtHn8XHeshogE
Pw0Gr/mEhLw/hvXnsXM1KIHqcijny6LQLL9101vVu6NfVREdDfaZSCyPhHjqJ13zLSphuGfzXUfW
tdNF+8ElmZIQjiYuVG28rNuTW7/MJfEtzetfKFi8HrXskTMX9wpwk8hoyAkvrIRTvUmCNq26XRKX
NCZk5zgSFF5FcaB53rnMvUPPcO5PjnhLwuSRNsPGj0QUb1JDezOT+mnM3K1YGZwtgbovY2sHQhfP
o8VKY+rpyuPYx6Ats1uZWS+42k6d7rw5qjshu18pnWxqoqxNV9nXc1UZ57It9rnGbqt25MmcW59K
B43Ef3w3RhqnZ7K8GM5DJgJrcU91kuw8+KTULnEtKGHPJyMAmj7Lb8mzCeLD7XMt+ruUrh4yv+om
hgXqS7PfmpT5FkkaCCEPag23ASAj5dJizCY8u1l7gh3PI+WSXScFnj+L3zrH/ml0ZkaEQr14cux3
fdH60j2wRqNyQKQRnMjmcpjU0auTVxJN1FPoOjiUydvUSXrf5/arB9GUljd6zcvGeYpEX/p6EfIQ
V1SLmXEfFA3vwo2n8nnffStz/ffE/X7iIsb9Hyfu+/jl7a/OXL7q9zN3jW9imyfUiYRjrnz+389c
nYZWTcM9bVGu4ax+7R9nrvcbg7l0HcQSjR4w/acz1+PfZ+u8IYmR/tPYp2n+Ki5+O3KRkm0PCROX
E9/Fr0cuvR61aYfJcp2UN+bicHSEbLrn3nucFaUE2kJPiWeUl67K79zFel3qXPgOmANQd9TLL0kH
xqb3LrrMuzY1lMJZyFfI5+d88J6Uah7NqfwgGLFrhKw3CYbnvC5qAMbS8Akl7zWjuCSHQQIkHD0C
iGyWNKjcOdIrBpzsSUZS7UxU6Y1OrIbmaEDohv05y/mYL+pVhFST8Ro9TM3wmCX9TetZVwk7nj0z
3n2RzVRbzdFVOPYX1TTCLBfdSXe5Q88w/Yq54s+stinlV407HAc33qFuhMTEyl0Zi09DzTqOMx1J
5ArJd6cAdG9hMIG6LTvSAtOwBTywa1wypyaYKN3S30A9XHeZLjdR0iz3ShTktEIIgHUHEHvm/EvN
hIPbgshXipQ2Kfu5ULQAySl0gjnR8gunSrxtM+ndVoB4B+GRbgH64itaa4wWbiaTpzamTqKfbBj7
QPuJtD1wxAieAUuxgUN7M9gVGZJZ4kp61KeJtQpZ1IaWp6bX4iBP+7HF+RSlHDdxlFvbsMLx04zJ
Jbv1IOuWvZbPBzWNMhgIzm3SKNrPmjVSSBqCISJdZTm03RK7fK9T+5xrnbfBSP+iLG5rxAJY7oXD
Y1+WLwm5s9AmgYooY1vdcRkGut+clBVseQDCKYI4q+2N7oxnT6sQ7TGy0B7+abHkRVHjLCrs5Qvg
9ebRKsiLFRYn/AhmdzoOgMXnNA0hg4SQSpLwgAsdanljnpYh0zeeIG61CKjCqnCfxEgOUTZiN3kG
6WXKx1cygxtOR+XRKElJuwTDWwIuWyeXpt4nCShqzVE3pREiiJDdEXhz23Z4Umzhc9v4qEx+Zrzg
P2sutrcweyQG9hwV7c0ck8ifexcdRn3u2hKCOogFzDOUgeMeKef+ohjohDNS9ZmWWIijzZd+SQKk
txMki62e1M8ymfptaGKLof8bZ1CbP3BcPMaI2pt6sDq+texEEjmoATZveue58Vg6t4M8t7Vzp+ha
18zwk07QdK8tBGSH4cV2ozsQpztHL68J31zPtebxjCkDpAq8l0aWlyobrwwz2mXlWwavY2CbF3RT
uK+SSdt4uQWbw15uEmCQrsb07tE4xn+7+6xoMvJDaXwpwrD0bS3rfa2zaL2JjA3RxAepuDTMVe4w
BjoPkPFOBMmelRufc2++NQ3mYi0DOt54b2GhHQrP5WMEER8PBR/AcM0ezkGYGu92atU8UPoDH+PP
Tk/Jl4600icE2DzzzVNLG6RiuqlC7B5Fp1s+NAyK4ULG3lwyd7o9Xgo7m/MbdIu7DN7ZuoamQGqk
k6ZYdBh10nudw/4LssVNqLcgbBw73HaTBkxmaTyuNfapdjvrRpmwpSGulrdAbtL7utS/hotp4DZQ
j6qqLk0Vveo4BIZ8WA5F6Imgz4yruI/oda/jjrgm9g2kg/eqdlQwwAKDulavkd6Gg733+AmQf+Nd
lLd+aLWXSndOvaFfJIN+jOP+rsVlgv5gHqWyruZBnKqCP2WSNVvozhrOD2FRaBZt07hA5HKs7xuw
fwX29YT++yP/mvL16P0vxuyfxHXKRa0VbgVLxbV02kX+OPIpF+UQsA1Od1RmS/40ZpvUjjoSkjt8
CPy+P5eLmr8h1kv+x792pTUb/2TMRpfnTP95zGZcZ2BHxYeDSajG/Z+VTyNBtk6OFp4RX+PAVHnm
+frghScxN9qpdLqRIgBtGV6sNL5IwuWZVm1FiUj61RwpIINpOTnQ/zAmBo2JxKfVTR3MacJVFYZW
9QRTkrI2OBddtHpHmZBBqBq8tM32i0Ub3Xs/aGG7M0qbA6ljDiix4ZS8H3cxyK0m6PMOgStvrXHX
tCkCFXgljwEE0s23ys8sqSkWSNcm0LltPwQ9UTzT4GXsJMT1RnFo6KJfyRViJEzGPUL2+GyWiEw5
laM5NrGaClJ8ggzW061uqsuYilJiEZdWlR91qktnrAi+LVvAB0y7ftWNCGCdFV/WltxrtbhJeebv
6tA99WsvqlwbUiNsEJdlV9GvKagLWGQKHqoW6dZphuu5765FNpOFx6+5WbBe8Y6YAkoXpMeridpt
PzGX9iMz+/sk1+7RcQobe0Zf3oiGDYhpAQxq6l1Uy/hzRWOX09PT2oUFcU+IhmYVfzCzpb5R4xEy
KhdllfXBYhb3QtrTrnY5HZyGBHfLKASZiEZWoB4zwAp0RUduDb2Mr8cIqGdSA+k0oW71s6ju5IQh
C2wkyLN2Y3pDuakN5JNEnHVl7kaJ1rcMtfXYeRR5cu5tWt5rOzSWZMNFz6d6lfaW2qmf7XBAS9EF
+gR1BFHndwse9J8exb/wYfxpqcwDt6aO0AS4cKNl/XqZTbV40jL6xa8MLa53Zj4ZXyhHc/0JmuF/
46P/vv/WVfzfv/9u8i9f39u/eP/xVb+MPPCO/puaWGW+n0YeLBPMO5LV4zfB8KeRhzSuuSIEifph
1+GrfoQqVlggQiOAHGKmDlfwf/L+oxrof95/yIz2GsFlhDKMNVb468dkXCaEBMuZrnsA0r7VZ5+q
cblzqnEMci+6LvQm/cojVm6SxXwAEcXlmaqFezxrHyLWdmxGLQBPAmOh2wQQOvF/Ohg96Ut9bSNU
pzl34OMO5Z3l5RGDSBXuJ6oe3AI6V1w7r4OZ3MtRfYoRePBU9tA9asufqfs8UOBwYa7iZ+GsvCuv
3KncuOe/tZ16nQYmYFAgteiMSl2c76GSZ+oUHrHbMPln0VvauWcLG5lmzddx1B0qZ1264IY1Yk3b
Wa4JUc4ab2YDj/Eavt44BtByYurrPWnDuOabzcAL3VqXE7V+0KH27Lwe7juzlRsMS20GZkbvFIy7
TWUWvDRr66H1APIs3nYwzWAAqLaBepqwvlqOSk8tvy9jF7e3erK9N4i329aYVxHrwhn7zzTTJmzJ
2LhaZgIwdmG+k+OAcXVe3ketOo66s3NMAWlGi58inZc8kHwM3LgaceIxZK2ilQM9x7laZbeoap8q
Yb+SKDk5VYZlU20lFJem049Uld4aC+7/yJZ3Lj+hMKGBRVTtbsrzq9by7mSivWazonVY87gmavqa
opgeC8N6TvEs8W5l6TbSfUSbNeHd2TlBPH0QOdZYqbSnZExpAClT1nzhYz23V5j+T1HLgqzL83dL
xC/zKB5qE1d4PN+xedlpUnweRPoV/B5Tpr2MflvDkVWrb9nomg9nWe61QSSbxvLO/Joup9TBjwj7
0frAbx2EBn+caVC72qkonbKS+4pgjkxdJLrI2avUsTdtWb2YpXw2gbD65TJ/sYaJz5dO3oAeJ1zR
fcWKMX9j5ffJa002b1S86rm8GORyqGT/Ngq230ZsPtiIghGvfoCZzY2uTT1LtXHeImnFm1Ys6VbE
IHUW011xkdlT2vNDUgy5G5uxhZ2ocdfLOvBoQIKv2VKX1Jf1RQhr4coYqqe5e6bJ1eSZey5Qymnh
BiUYcaKo3oKBt8S3y9R6x5DC1E3ldPPeWpvFtGGy/KHRU9CNMddfUX+gFfce68Wm52oeh+kS9EXW
qMfx20xsj7PLtBqFmXVfhiYTJh7Tp8RK2f4yU5NDhpDPlD2XFCN569ztphzhpbcHC8lITiPdFhRC
foFL0wkKaBuYqM3narRT8AE8bnnMR7qcenoAEBoTfEO+SIpt5HrzvVujAFRkCuZYva1nL0Aod0t7
605DSxgyGrQVNeZBSa/4Fj4NDkznaraok0GJUJr7KUGZiF2bujS0CsJbxwTtosVRnaNl5MmwY6/Z
+wqVo6oJDdEqdGHFJe2qKCGZJe/56eqUG1OfnTKnopl4aCetaXF7CafXTlpPVWV+LjQnB2rVAO83
kQUapdaEx5Mdr5xRhXKJkf1qWgWbcpVusji/1NBy+KsGPEYSjE1vI5Ei+BgNUVMz+1hQgurUeaqb
5MzF7pVlOlWqhXMt0Y7kUGn0EsfmxkT2wEeLWKyF+qs2p3cu2hO/PESoVE1osM5jMUL3VjnLanty
qSfCYivXWQeJS21Sxh/WplD4ePQcBqMuNo7dOikljEywRpEN9AuNUYruu0vAZsA+1ikrnyS982Ph
UeBE4d7guCkbaF3RadS/i1j1u8pr0l0/eMmmrrWrcp3nxnWyMxjxVBR+oSvrMmb0E+sMqM/LV7FO
hUs9z347kdrpLPYZEMO2TtR8nXApEh5he8LQ9pi48hTX9VcKzXofHFLxgLx/EKXxCPmp8MOa3wad
dztkDW3rhlyv5HR0ijqkzXygP4LToe5BDU4o3kXOZ428Bde2XItAvbeaTpcwF7IyYBzpwOr0nfdi
FFCtz98uAv/eiCwGqL+/Ed0n72Cs/nwjWr/qlxuRjvGVth3DBmv8y40It5OxFrSCBlnvNj/diBxy
bgRQseisAxv/wh83ImoRMB2ul911Ybqua//B4tVYv7VfJkI2wrD/+Hd9u2RR8PPrjUjRFxUbVaJd
my4fzLBQRBH0lyp6QyECHM6tHnGIIAyZKvSzy2lVjlqOXYmUNDCVSKSlHIkJudGHjcySIYs/l3CB
GsQos3TP9apOdc6zvgqfObKVQr7qbYc8wKpoGdHAgVk+sHkFI+Jpud+QYdnihH+mFX4LF/FkL2nA
ofVFEVHUEc4MS+BOQEqL7TLwVm0tU8mhG5pikyK76ZFzmFYdziLiPiPMpTxoCqHOQ7BjEQ6XGQlP
TOWnBkkv08EDWoh8rSd2CtEv8TIHin69rz3EYur5tth0JAHYlfOFaNgjHmag7RFxoRciK7YdkuKC
0NhMxox8szhHEF+o5KF1SrW8AsgiDrxErY3OPfEwiGVfWfPR+CZmyruppnaTxc9jjtyZr7qnbNyL
CCFUK+yTuyqjtTafSbLAyYscEdjIp/0oUiYsKBgIq9KjDLJBal30tw7hNUKAXVwbRMKqySp3eslW
lTZvTPozrXdz1W89hFy5KrrTqu0KK9z1q9rL/VgG2rxQEbfsXXcKaoThoeNnFq1a8fRdNyZxiYhM
5TIaQuikFRU6iT2fgDIuG2XVWn+sXGLKveMRljB6huGm0lonMBIrHIOuM3vvSz42uLJ62+i3MsP1
s5nNaSGfy4oNBDE1ClHcNH69Xn6Ghrt2ZX4t47bZiNCiaJobFWk0qoLMSdtOqvsqw8Hyvaz5WMuj
NkuYbpcSrLyzvgEjO7tzFKUCjulcidhw/Z40MKlrDmQRf85n67l0Z/YQ80hYM4t99ONkazX2W1p3
H8Yyv6u+xRTj5E8RTgqqqE0aBYG5Zp1xainlCbh2mAH+Ba7XZgQKOTtYcfvsZna/M4WVY3B2n5ee
jkA0hBR5c3rrXJRyYkeA9IueEqqkc30NM9c5j0APP+fUzEVUGc3pmzVj/C74vJT4jjJ1gtK7T6v6
djRp6Is53GsrwU3IXjen0w7HMrkPTX4KKXDd2/wVV58+Raq5BfLvLxaEwal7LoEactXBmyccR639
7iwLkZWBVMdiI2W+ESLu0GFmLuYTmwIYaHfDUkXHLKYvSpZXqq1BYtX0LkKDy62RIsJmydqv/54r
35aLq7/l/zhXvpT/2SbvUfXno2X9wh9Hiy5/01xd41zR1nl63RT+GLbRIVnsrQZ723O/rx5/7BfN
31j9wQYC0kFABlrBH0eL8RvsKBMaggZJajUA/5Oj5a/ERnJFWPxNtpye7mjr0fOTkzdJ07iLiTie
iVNwc7Szpo96f5B2dlEk9LmwBhyV09JiotUG8ddyUfcDU2LEtfXSBJVPsyB9XT0GAa15SZ1c12/Y
jeHuSUeU+003lt51UfXqIjKHPDkSlDUeIN0K+6h3WisoIBX9dRGa4UW2SApujYwC0fvEYZ1xUpHK
u69eGcnp3Jo1Vd7rAzNSQfOOqA8/vEzoixwshu29luKH8Bo3Ge/6ZumPVm50jEKKS18QrmqpshzW
IU4TaydjVVPbpkmBgkNHCOLZa/y2aftg0JbkZPcLfTChqodNCkQRNzdUdG7AIZdoWpCUj1w13MSG
/YWExAuBxa84V4uAx5pjQNrvdV+8877XGbuLxnojy094mnhmE03HUmn2rs/EAHUlkpvR0JLEn7JB
x0kzYWZijv+kiwQQAibJr3NClrYzS+MYUyZ5SZ0RGoTeMkw3w3xUdd3seaNVfjuqflNk5ezbbk0u
pCXv7qFp8MuttxKJjdLjkPKE4uQOHiSjsHXwgNrqmFmIsIlBBM7y4j227WLTRmtP6uKmyKroiU6Z
bWvXe6c1R+BIVodcZ5WMYrxfQkZM0WEejEIY6zADP1ugE7fZpMYNUvq+0j1ijP2MmbmdrjITf6SG
DdH38rXChswDy6DauMYIld2jWpt3dL2V76lmtRdFk5SfIMYzoSUNAMox/V51/+9teL0c/v1b6yYf
ii9/ET5Yv+rHK8vAEgHNmrzANzXP/dUSYYFccVZ8FBuUVZr77ytrrXDnb+lYFHg/fd+q/HEbBllt
8K4zSAtYK4/lH9yGTWe97f68H1lvw+QbVosFoFOuAL++sqw4KkvgoPq1DeY9OyTjaOAPaLJzyulp
qe7WjdUntHem2z7fT5H3SSRxtyk4Z21OYC+kBDnhTG7ZDQRm1d7KsaJTTzsNuIYlp7jJaa6Gg52K
54oDPoyY6aNrfT35Mau5vrRR0xydqGLWSWy2i3pj+0/CdGBVDSv42bFCKqtMQc/u1D/jRD9M3+4c
XD7YG5tBs95HCOCd1HpDoWrxTMQChjeXl1IMC1xr7T3hWjMp481d7znVeuNBmLsv1jsQMf/naRGf
WsVFZ1YNDgnpQsD1rkq5LCdhZXfskFbqL7ermWsWmjz/IJXyqPwW/yDdlqPOrY+7WWokTBTrfa1Y
b254fr9q2We2yHEn1abTUEgoRpMr1y90+naLoMAN0P52G6RkF1dVbS4TOf/1vqh/uzsmc0sMuBy5
o81ldoDT1WBpEMMGZEkdsFrCt6J5a67VzXdsv7OjaYwt3ZAJx8wSTf0tQBMaO1Xe3o6VmdKOAkaO
KZsf1dpR37WsaOImBc9ZZgYUAPm5Ui0LrCGbAqu13E1VdfQvrYLT7FEsFnqhDcNgWm75bFoAelNt
m06jH1eyuvAICG9Qm5JzaGvpdsIjfhEDAd3PLQsp0r2g/xqDTbaIzXCvZ8OH4RE/aOJm8Bt85gdd
itex59cHUb4J6HigcqVhl5LAwTlwf333RGUzrExTALUDj8LqqdeGzq/sNL9xTWygOjmRdV5JAo9e
t72Vm8BUx87eu3HzXsy6t6dNhMKmVhCtUVV0wU8OMSWcyi9uBYPDWBLtEGpQ1jqNAoXSYENo6n3W
bnWH1vCiFeVrvYCBrKj42nQ2RrTeFe1pcqrpFE1DuycFgXKyktRrimACfnn0HHf2R0K8bmMtMUhf
y9yzZeJOr6kCSo7HOdO6rvVKDXiGn2QNrxSJA4yZ0HRTW2OAdKgLvstS0sY55K88c9FFi4XwMKms
7IMY2q8WzKY74+fDTfeR01BzcHXduK2QP7cQ7LpTHyoN4gr6WqvND7nQI6A3ub0pucADCGqeKIGL
fE2FQN+9qcKQyRk4ds8iaj7lVYlYyLkaxAUGhbFgBEs1h9KIJX3Sy+ombbrkZfGgSBhxFMO+cEGO
1yTE1XCblABEbJknPuj85ugN8j3OxxdWo+SHXGrrPPExpf3a4ZI8myK9ACz0eZaTs6duQvp50a4v
Ee/Mj+I4ZN5HxXMq1h1bX7gP3BdvGj2+qHXb2ZRtdcXF7KshvU9jLuat3s43vWrdo9u2h0p19x2N
2E0sqe7uuaM1Q0s/+5Js8GZSNm7gHkpLpD8XRu3E5q5147tIa+2NE9ElN+Rmc7I19QUzDpNkaRyS
Kr7InPDaNaezmM1mu7Cj4UlJ2k3Jhw3TWA5nGSjMa+oyqcqsTw/EsAA3WINJMN+zLiRMy40lq46k
QPHqdTbvLG0oicQ3N9Uk7jE2rY0fWXIRQf3AWhLVQbZMLt8S+uciYFcjtZKyqqbotiCQjN0HEsqw
PjxKC1lCrP/RvrbjIA0Tb6/RlnSXR229dQ3IKbxhhn2XStYD9uzta0tfApWyxoC9nfOGcZb9PCBI
hF1iQpQorMBTZLpka3+wZlbbzFJHECnXyBmnwkwvQfsVAVOqsTcnelxMrQ53GaUAu9ixtX0ehlC6
tao6GHK2tykzfhLnCn5DYuwNc20nTPlu44Kn1piwleYljQss4Ne2M95SGoWE+6nkT2q3o712xkab
IdXlXtBwvkkLVjxNRHlhWeB15jU1bP4d0L4PaAxTf3/Vuf/yFXw9eYu/mtD4yt+vOzrVHtwmCE1y
daHK548JzdB/cyWb0h9/h6/6MaGx8zQlpzKHswQRSLTid/GPGCbXICrubJcHB+/oP7nu/IX453Dh
Wr87WwNu/icKoZmOJWr8TNd77mIDxxG6AzyRBnW6OvzmHudb1vFc2tb4PKXFqe54JKTmOkwszBbh
EnXbsHR16j9kgIef5dJSOr7UEnHSevXFDg11RX3g+ySbjk4CChrqPLw3ByHP5cixs4xmw+M6Nlfw
FYI0ip8IJwaTVgKC99yLojcuyMN9ZPPyNMXsDa3susnh3+jGgTBRymqAsyEpzBo4jA41ajHzLW5F
ek09Nonsqd9Tx3qcpHjJRvE+jSvKPaQ7bJ4wB1IM+tYU8OcyTVz1Gj4POg6p6MkIThDXfF1iEHoA
dnU/Z2HJWrdPtoggT3FR3RoyolsBbpyzWBzWQz8GUUsn6zlKjrI275pOQqkK39WK3SpvpA6gyWyz
q5LVn5rTT0VjbkIj/BqX9sNoh5x86ccSrQ633Lh1qRwB1cYJNkYdFvmezPQAFHzI43w395TNNR7v
1lYu90XU29vemQghulrqm3kMQq0cWCRWlvKLBPdOF1JVx2ux21p9dMhiHISFMPcD28c7YGfGdsYa
uEkXVn16Yo9buxLmuW1Wmg7GWT+DNXJB7uSu6mZGOSgLe+zmR1akCenXPgFwlNqHIfSW7KmMhBOd
jU4Vnyj6wrmTY1zhxzcqfza5zo5zwk3Fdj864CtzPF7HPSXnrCfZSPTfthMtHPc3erQcAq06YYHE
0sOdDdrq2tGS2ee0gmVjLOWutghcFspIHklWPLV0xxxM6b1kdE1zSNe0qlipsRX1gNtocR+8cjqa
BbT6NhzgthAVaXX9UQy8fgecdMEcqnI/TlRPFhY5R6cj3N+VmHE1fpZmN55n+H8PfAJI9lCKTvlc
Pt+UC+txd5jqh6gZXzvi/CcnM0YMrvF7rXNbUNaigQzTr4RbcYugpJ4fva2zeOqHQzuE7cGAPXbf
yCanQsQpHzIDzFmtJzEpkvqhcvtt30ukhoEZPErswyxZ2w4h4m9KUpcanAU2lkcTqkmwsaBsLrAT
yGKQA4h3JKG86BftyxzWfhNPT5i4KVkvtYUO2TrdRpbHrXe2xFEID404nVAkVRNuE7cv9xTwZV8z
zECHHFDWRqFJZ1M8H1AD3KDtPUX2mRzIRtpeezuZengZQ5g5u+Ny1UkHz1YOPgI/M09mMbY72irm
bW+U3Vm4iuofPQMhZ88q+Pc8+n4ecQj8X+dR+Z/LIen+c/2adPVfHUp8+Y9DiWpOplxyBB5GKQ4R
ZLkfsiGHEgFgjVopTwNZr5l/HErQTdkJADiF28EV8mfZ0PoN7ClfRn7wv2LjP5jB/7SPohvLRbm0
MFHi/DH+x6HTGnzkSCJG13CRNujrifX/o/9jgfllyl+xKq7J6YpbjHUvjkt+OD8Lk4VeaV6dL/MV
4MIjepu3AxSUtjunmM+zyUWbpf/S7RXSUCBFTRhH71373mAVTxkx7o2z0zpedyyJp5+HVrisowZT
NmcpBfUOVgfUdKvRVKuwUGtBVU9azYuXjhrAR9p+nhtK2oC5BRN1CPs2tpqgq6Z0b0oSPuUob1Kn
XIH6Be1CFcdKQh4KgBN5YLEvC+Az92Wr4o+CNczO/I5OcpnOAu87UsnL+X+BTrxYD+Jv3CXcFjCY
6mZubnuuo21C1Y0Sur0Rc/zZrPVTPMekz3KIYxkMRHNs9nBnLqdB6hunF1dDPD7ZmfnQeN19CxCP
TsonaRclUcmGbVhiXTatFURWcwl4EBdllB3xTyfbaJanSc+p/KQcbIwq7Pcz1S1sFVW1XLS29lyn
KVDG3CGZXzXXLf2kB6+ML4dZe41ltrAcx8JjhRAU3FxnSqooL/G8YKnYoxB4xHNtUW/Zz7O9R7hR
p2apT2Mo9nORUQ2cRHtAEe02MRWBwPr/sXcey5Ej2bb9lfcDaIMW0wACoSOo1QTGZGZCa42vv8tZ
t7tYrLxMK3vTnpYgIgKAu59z9l4b22d8yukGrgMNkGkYVZtlaXZBE99EZIxuksIoPOJ7ds0i4rkR
DhXt1BDskd+WTXeIAAmsJMJz3uYhbYGPhqPL8c+fKh7VSYnXOhssZuuCyIpgN1X1adRB5yoMT3Bp
2/RPbRI/w8S4NfQZHsWkQ6wsUG4jKaBHEuj0MOfuVJuDxPkFPCbHnk2ZyT90s/+OJtQm2c/MD5qD
M3sVpUZ8XRV27hEBGxuA9/DJWIq0d+hxbzgMvKVStFtMTjaKdY/9X4yHTGHgR9hgu72mHDFHXA8F
SnQ2SlIY1wLllZsYQEFkbmxiDonZ4oc3CmvbysOjIpT8lREK1c/LYg6nUu60VdxMeyOTrxb+6KAU
pxz9/qIrNFakV7XFNStNO44iRy2Qto71MAUvpb3s4fTZvkHCWmMZ9zWWIiqXbwM99L6zu4MOxMxQ
56swSBRXA6NBE8V5xlHwLBAkXjMqR0dnHDbqlzraEgMWudFC/WgstU+47p09tfd6OmBihappROGV
PpB9S7OIUnKA41qmO3KLEPgOykMlRXe2nd9LlQiTH31LUCisaV870n6aCIKjFtzTzd9kZtavaBt4
Wqn0O73Xuxt9TPZ8v4ORyC+caenSaRnRNSUkWVWrkjMm1nQ7Sbn6XI629dTaJa7CaZ4DssiD9GYK
GIJPU6bQWQrI0Iq7yKslwb8kkc+F244zQ5WYb/JaHIfKiM+9voDUzZohaN2+MsUbRpXP8Nfh/GnX
gf1tYR4PFcN8kFrVXA+teQ5IJVrTlxzokTktD7OG8Iuw28Nsw6IMVeOmkwlWQH9Te+FQ2StFSQ6Q
EW/zKgV8OpbICKsWY4ijP5kmMFxz8Ooe4Yk1tcXeBsV6CqqIH3shdRhsyjcdHD9+mznilXO4R8ad
HFYpv+OcbsI5PCaIa1ZzGlxDo/vWT46b0Ea0E9xmgFFusZI8a1r1QrIvOulkOyTdT6sZL5mxJH4I
hGWFM+ZZTXofXOpLOUur3m6Z4CuMF4IRAVLXFhTrsEnbwPDmOUbJZK2TWv2em920qQAHJsXwPNBw
M/QOVnCMdqFD19dwm9MR07j1qBTtg9EXj4ZS4pycktspm4+FM267miJDGpPHMJp38cgrOk2nIcg3
YU5+lJyZN123XDiuPk+RcS5RQNr68DgCg1BGyHsWIO9Bh9gxyYDDdAexV/qy1CINJDE3pJ3TVMyA
iHZ2vAvbieERmZ1uYpi3KK75BTOFeUhh3eHW2nca4aaECj2zExzqoES3j48Pxmu3LZPw0SAvaqXJ
zdbItTXLDf2hCRov3z6PrCMYaLKDw72CWMupBi9AklXBbKDs3KY5HRPU5atcTV+h8XjGGG97+MQr
svte5S7d81t78TJh2lGdvd7P120l8zH1dp/I0rYxzJdArkAyUy10w20AVRptzOJTO0LniaMrJKo/
AxmZEhnyL7IO5EJd4pNjZJs6qO/yoqOLUpRbgh7rLdligjIrEoVVyMDxixmUZMxqyBLVsvOLXFZW
pa6PV7KKENYG8bxO7eapICrWl2T7ItO4ozNV18ImjJ82mnKfjvVbnGHPIxxFehork+eFimA905tZ
aXqcfSeK0vJULY/IYJ3V0xi1/zA/RZDddJJTTE4hFPJ/S9BRUkPJ8yKQzkkCYvYhdb7pxj+VxH+6
xKfx68xTbKbUCme5xhFhXfrqMiVXH46Zv5Dd08D4MC95B9TxNUzhIoUPYWgcGD+epFQEyZiR4/Ai
k0hoW5cFDNB0R47k15dBCfW3y4jRDCwKeiY0LP56mbBMQNqnQ3jpoTXXScTBkPewvu/1q3GAkNtC
5jX+wNT9d4oniFtflxKnV6xnFAyfohPE//jvIoI8W7QHBE1hYbbldzfTf4oIZAQqnXTDcvASYmH+
s4iw/gW7UhU5syZOZqqIPztbUMRk2jb4m5G3gSL5R9qDvxURFsUNJmlDtVA6qPKnIqLtR8Rg5jxe
5PKqIUhwRjv94Uf5xYP/6Yk0KMpgqKGkEB08XAufSgh68anWW31/afWEhf1Bki8OpGV9qwQ8kmcs
wl9fT/1k3RIhPn+9ovhEH9QUgqgds0r14EyBj9mz8PrObYk0qwzL9npsSns/dDAQzBSRcGv6ZsJw
rA6mwEAF3bEHhoX5MqmOujM1yPAz0wNPaUukt3Z0NErmg7aaulUjI/tOfzqT9CTySUqF8DkLRghO
4EaoyBmQaGpED4AVFBl5HIKRNzctEZS+gcwQm1JcboJ5KtwYQfDKajiYoUyA46vGjOLJJu/jG3sY
Do6hlSsrHo5SHXCXEvBoAfrxGverPuMvN8frALAJpwJtW5bK1YBKWLUBisg9B40kPJQo9XtNum+Y
3JDs/TIsmtD7bQdradcKEdtxx8CrsvcR6rRVZJYj+OimhSUzn8reWm6tTkYt1RhzW9yWDEG2Zl1B
sCjqbY0OqrteKp1/0OfNVF6yUD92lJNnBp/GVm/ZpKj56m+pbB9NNCQwpI6VFe+mFD2JE8CGT8/z
Yj7SxGJmRYcFVrTmN8R86ob8PWNutx4N/TRV+h4pvzek1bELxjXuhd2sxVcyhgygaF48zUd6lUdi
/kqvW3LZDY3x0A7yI3mfFBylmFQu90ZG4z/IZ3KG++KqSDsQHsgilnQvl8gZJ4hjlCBMR+vJhuox
0H3RwTC2iXWPagZ9lySHvppXOOH7sWMsoTLqjuv5CEUP/7OtQrL67kjjRY/sm7bHSaug7AEz3/gK
RO4gi6/6QrodBzTqEreF1Pi1HTsrK+++WxGKEcVMrlWo4U6f96jjFWj/pgfu+rrrS5ZzFInmqG/G
ZvBlZB4dW3KuyF5ZlrdLoV/lAVrAcWI802XpcDPN0Y0ZKDs8MZ5d2U96WrgTEDII45LmJnHzs8Du
gvGWmQt85AVniQ4EBcvCD3kMDwUs/lpXID9bDvkNZJ1oWkyhP+IoDq+ieDjpRgKEI8f4bqwzq3D7
KTi0LXnICFbbpRNo/TM7POAuacdrez3bYUeCCAHBGkpKmrMPetPi7wFFW6cFbTUjm7fpCP6myWhd
xiQUaLO0T9vlrq1G2uBZd46b8jYZmB4n7Gg9PVuSDtRXp09eE8s+lXUGYjABFDS2aBGDdqTNGQz2
9n2Z+e+mJ5QcX2563ev/W702315/qefmf/73xkf3jC1FtzQhSRGAjg/dM/lfILJkmNMGoxbMvn9u
fMa/OKOiVLFNgcxCXvfnxqf9C80xMxMhk5NZ9vV/MtL528aHEAavHEoZhHcO9Ni/bhJapEhjR0F8
joh6bs/T9PzhZ/nFtocb7y9HMTY8QSTWULLjonNY0D9trX3Q6vD8p/5MrMFaVaufc6Wfs4BRQtP9
xGLvNUkD9l9nPqFIxQ4n3rapE0zuQLhNySQXmxycwsLk0Mp3SR/5elt9l4hXWanOsTdoY7cddecS
ZRdlUAzQeUNXa5eQUHHgJDFqXn5E1wAsNwMHmZcWBbOxm8QJfcTVq70f2mdxftfFSb5WswC2CKd7
HU0IfhlO/Ik4+zup/taLaoD2SIhUPKoPiqgVQsW+WBUy64wywhH1BARgOGSixkgmPCqaqDsUUYGQ
onQYKElSShNDJSFZ1CoAQOttRvkC32rxGgqagMJGo8CxaZCzGBUvkqh9FIqgPJUwIlIVtaQf+GgN
PfIFbq0kx4Nd7bSacQYFVVH1+05UWAal1pTae4gIONlIeUGGsa8t6zVQBgwyFqN0R8JKFL92on5r
hbyCgi4Lk4tEgWcUJG0H6jPx5XuHAhAw0FEXFWGjDqdMwy1HqdhU9dYUtWOpOw+JqCaXNLtqRH3Z
Umh2FJxVrYo5e7LXBelc1KSqqE61Rb+NRb0aicq1p4SdRS1riKo2oLyVRZ1bUvD2FL4jBTD3gtld
QQ8T1dWejGjyD4ZHneB6UmDOJkU0m+yF5uJNJKrrnjLb0odTRNldIgsKmaKR9sH+R2GeDeMxUrNb
iMnEFyXZI5OGB4VSHl24X1La24vhS1PzYoqan/HFRtLa55Ivr875BMxh+Q5XZg3Gw4VZ4mnpdKzG
BCt1HVbslHA8uvcuAwnoIW0H3gIf0/tzGASsym2X+BJHQauqf860LGzQGTotjL6RnyVaGq010wCk
yTHQ7JCN7Nsimh+iCxLRDkkTkWAsOiS6ZN1FtEzqqqd3EkOLkHMUEEqOYUh0WOzFMk70top9HJsL
sy0ip+gNJDRmetGhIbsAh4Xo2izJeCvTxpF6+jmq6OwYNZZ5Or43k+j69KL/A/9KcGK0lr4x3SEs
hMF6pGEUdnSOYlpIsuglOaKrhM1zWEfvrabhve2Uv7eg8lkKZkiUQ3yeRI+q5pjhOfwUKy2tQrf5
o5dVRp4eYYvNekledwvjx0J0v0rG4whLe/mArpWU+VlddSSOdN10qfSK5nqP7kTRhHNcrdstzdNk
Hcb90VRCNuG0KjbKYsDRWxyMcypbpp5V67KrS2RbcXaxkPKQwy6110Teh24QVG/GMj80gfZqpfWW
9Q0Fq5K7jkK1OmfSMUhVMHEZTfHUNNCVZiVdXwPGG23VIHvsyY4fh2YERGRedCirrCxuk+ieZim9
V1bFwapxOCBT5L8fr4teI3gVyi1r1D6sgy1SmXUy0ISnREaxtomM6ESO0mPaDAD95P2IdnBTTCnk
BeJS2rhzRzswD0pHOHygx9a3apRUF59uGzN8H/M7jCujP5C6ozFlczUGdC5RXzTN4rg5LXZ61lSG
Dk57rdSkb2Xkb0ykkRO5zbxYIWVbCXoyIcxml83DPVOOu1zNOesi6vFasu3X89jlDmtOvx9ls3wp
9A7kcSz9BAoInrCHj8DlGAJWpn6B5kltMKfWQL8uGjaEkc8blv7oMai5gtpndwVkRGSBsrPvcf/D
3w2ZhRuImSzNRsRE/oheWndGXVLdE5Ox0H5qkQ/pAePftL4zg/nOLozlaQmK2IV42/pGHzKdIHWp
o5O5qeSh2OAcLV3E2cTDDEb/1MQACSZ7jhc3i8eIXSnqtvpAxz0dUTrYOVaTvHwWJGaiiPzJmkHO
lBfi5vZpPd/LKCGGGM1CWUX3fabe2X3tHKZ5GnallDReGWQz1UxCvrosPzN91kAN6/VTb1aE/ZQI
JNOIB92Ke+yYgfakTk53G6jG5Nu9RNsTQfhvqkTMAH/tk0BBMBWOGg7BBHjqP9eIeQ5KJEyKc5eS
/zQtO4Miamxa/+tTgPrr61D6UtBhXvvbIaCzljxFpn/Os+wEz+ueVYk4pPyF5bJZjbMj8nmy7TBV
fman21aNwGyoKxydB1aqowHEMXHSa0hRN2Ytr7Wod3uc5MzTfpS9SW3KK6Av9tmUw9evP/ovP7mh
8lLqukEoCLKbj1W0kfdl3DlpcR7xk4fznZzkaDWPX1/kE2ZAtMWsP9p7wqVHE+LTfaB3Xc152g/n
KkQdDPJrx9BAZ/BVs2+QBr8OpOFJqrLymrxhBlrybrSxcJYzTM1Ak6+XJKeOWvrrPtKcW5DTbl8O
lJSM0vRyZCuHHyUEx+dYivcU+PzmKu+NmdOFm7ExC13Ha9pl0CWJDFuY3wetYq6jLE7Xaae9SY3q
w1DpXVYl3FK4N9yyRngZIWhhK+JoE5k7kCE/0Gi+UlmtegNz4GRlJyLkEOBbs7SVlTE5AdvIV8uE
1iZUUMdEDo0WJQ4fgl7J7+qRYZGjhEcjJyCsNatuayrjmuQdtxYZOXRl0nUlqxfcLYU3LZSwipYd
A/m11/3esHasi8+2hILGGpXtnOjPmdZEKF2RXlaYkjRmI4vO0WPiNcNcCwabYcu26XKD6nECgzq8
prEavdGz2MhmnXtWFp1AQmcoOmqfSCpoaep0k2N4QqVETWsu06G22j/csf9nOAlez8/vJc8DL6Qw
bTJypjX116cOvExZ8O+6Mx2wV81pc2+phuxsSjU00zZ6wQmZrmCYuYo5YTd8JyxkJ34VNKZRam3V
sD3BJl0h2j4Zpf2Eazvy29yo/b6X9V1uqD3yECaAAymEeOX0fIvvovJGJRYBaMDmgFDfEFdIU8ao
b8McKQ3xYUy8xp7ESrw0BXBnM1/emtJ8dYitZZZXWuSKqfemOnN2ZqCtdYqHLBM3iyGl8CjMJ7Th
uzFQv5M+j7VtZBlwsq1ZTHeBkxytoXHrUrs1EXAuE2LRWb01huGUJtFtHRs3uYWUbO6e7DTVV5wb
5bVZExYW1TgEe3RHtpASa4nkyTSOPJTQrxLPhFs52rOiSU9KBO637hZtHVmwWRcJQOxUrhW92ciA
iZxigIVjYVwbPHygsouZ8WCBTxhhqrPNCzFVd6eN1dmxp11bzq9oNN9qMEWFZa7BMZzSvvBScJ1w
NI9WYfpjSfqhRWhkjMJNdeLrtGJSTH7GumzntZnB/6w40JRmSF3CyzhIzvVYdz/hhmLLm4W8Dhd5
1+PvBKur4oRSFHI/W20TgzYn0SnM13q4MDDjhJr20VGCBpAq42NZov2R4iti4RhZE72USgeG2F40
wu5Wsmemc34dEh2802noKeyaWTASukZeW5NXXi/VCQFp0iYZ7cOSoFhz8AuOCsPrFpjralEVP4F4
i6X+CnjSNiw6dNv1sRByvq7LJHLcxmo7Z9ZeD8dDJeI7DaEMRzituCMpOFFF+6ulSshMZEn5mt6a
iDu9Mo21lULHtc/55JuzX+rbwBoeadKgJ5ZPptE06K70YxKNJMkFQXDo1cFyWwguroW2ezMO2Ns5
N2zLuWs9cl63zcApxCrBJ1g4SYegUX6ztf3mTRXelY/7gxo5M/LztKeLSk+xPeX4nqZBjBYvaXOC
D7X6eqsQk4s/DSd/7BQfVobPQBo1wvVW5KwMZfkDju0wgdY/FuETgr6vLyR663+7kgiQIhALzScI
nr9+s7GFJUuw4gQjdw7XVUyqWRyoguxR7qJS4pmbhkNVwWgqQfSc7No2VmZSIj5LECKO/F0XgcBP
dKvXU6Eh59D6BykuL4QS32Yc36h63K5Vbycml17RhT4oj5ci0R+lKKtuwp55vAG8bpMbvRiY46JV
1jMoEdQdwaboNOuRceJtRSghnZR9rwG40FRsevPOqJzLmIaHhm3bIqQvVQteJgnXhO1OlfKYV806
zoId2JoVQYr2qjPy10WeDTcbw+d6chpS1gLsf60W/uZX/Wu/5Y/b9/FHFfOxD0351ETg0QT2dLan
l2j5Ntu/yUr63d//tHHIEgEfZpjOgE1voVevau3+N4/F10/Fu1TqwxfIzTyVUzWcz4Z6hdZyxc8k
R7P79UX+PiWE3KTbtsmRVDGY/vz1V5qslgkqYbNnR3XV7q0bc84k9/Fk/eZuvEdH/fk2ieaUoVkQ
nthqHY6myqcLzUmMFH6p1DPHmDc2Ne8u8wMPXMcqdh9XxepxR+7d8dtN7EYP0/qVke833uh2q+2+
/sKq6LP9+UH+9lq/f9APP6szxE7lhCwjnT94sosV5bbf5NdAZtcCb+crG35nn5CNFXajteNVw1o/
F29ffwrjV5/i49P5aWyaBW1mq+Cnz0/Yx9fWqvOdK2vFyGoVeZtHwz2aXr5xzpE/bYtbY3uH9XYz
bVn3VsumBF3k0TrzHE869tti014iGver0HsoV/1ZdueNsXN25WHcNve5f/v1R/887Xo/QX/86J9O
0JLaxlklxTyXK0RHfvuj8qs7xYNL4wVe5MXrws/35ebq7bjud4ZLwZ7skYPvkzNmBzdYQwn8HrgP
X38q9a/Nz7+97p8pc3FcDo1l8qminbOK3GWbb4K7gtEKXPUVKqUVaeSrbGOf6636QiNt/fX1xeP7
+an6+B59Wm1YaqS5rdAtyku5tsbxsEjpeejl8jebklhVvrrOp1WHDBltGBYS0jlTr4bxTZ62I3J4
zIUyrtzK//pb/XqN+8/q8LmYlBB8aEad9OcIP9lMInF4/f93gU81nzYRQ2ASMX9OjYOa0Ad0fjcN
/s2N+ZxuJuWVXVhEg57L6oxp2a9UuLj2b+7K736nT4tbq2RtMlhJd57EXVkyLJD/PHXuLwu19ekB
6zGE9UWbz+dxmNzYPEPRdpkBf307fvN0WZ9WJTMIpZnmHLvBZLq6U6zTrLtoZNRacwsrRT0PECS/
vuQv7w/JNWSBYn11PqPObc3Sgiru+rOe/2wSn+xymnybr6/xy9vz4RqfXpoMBqhUR/p0BlRM//46
z3/TVfjdBT4tiUuaT1pS1sNZZtFG8pZq2W9+pvf98asXX2woH7atKGboE2Q8x9QGK7AL+2GbnigR
3D1xRmvkN6v8D6/8/1kb41j6eq0R3/rDJRX6f0qnRuxRTzSGCfB2TyHXXo2vCFR3w+oK/Cz/YmWs
c1dZ2dfS6qZbi1396rm+0vZU7fjc1nO32hZutPndx/vlRv5xyf30sNpxM8oEuHdn5SI2cmnVbjJ9
VyjuKt3o3mOx2oN0PfxErUxgzf18GFfjb1YvVSxPX92UT/d9kFozqp2Zs4Q3eIs3LyvVXDmHzLsh
SeWIkcd7Vv1gVdCx9cl029iu9JsV+ncf4d02/+EmSVMv6cVYdWdQ06vJo7OZfDd8sK+H/se0rdb5
0dpIG+ln+Ky50ya9gJ7+8fXb9V54ffErWJ+ek5T4O70teDTxkvgkVa5icarbpe4dsfG7XSwOLWeC
Lh5lv/Ryv9pYV0AzvX4d7UDSv2Tubz6PmHP+7fP8+bobnwpFW3KYDRUsKfVa35gbE9+Zj6j+GB+U
1Vu4w+Tp2rtqS1PvOLnW/drmdFCsu03q38aeOCT87+Hgv6N7MUf/3ejezX49uOd//ffgHm8LfhcF
HoG4a++0tQ+KNabmuCk1g6m+QKr9x4sJz9vWTQ2xmv6OrOD9/zd6wsT2gkmGcT8SD6Df/8iL+YvB
OrYa4BeYOg2Dq4kP8XEhtJRQybLGKC+qzWxF7SaRkjHPJMYzfVSnUKHVlvqZNu+KvFAr0sGj59yx
9ijafdvpMApg9e7rXWJIl0XCz80MhlR4qzxmsVVeUMU8zLL+ZDsVJMFWGAylbj3M6Z3ZBORedfRU
05AuZJlY11MIwn7VLEklMwc3yRUHJ4alZJLPRCcNHu6vYRMFEREFBnqiQu4icrUYxCVMIJUQ6hf4
ryUoEcPLRrntzTH3AHeROyHavjOucniEdLCmbvKGQb4fIL5Z0DpHlT5P5+j0yGQs40ZjvJl8T7fK
+bu1A5EWGzeA02kELFEkbw4m0fUclEyHc5Th2YzjodCDXVYh6pHzaV0WZHLBDssOhoidC0QAHaxH
+gdk0sUinE4SMXWozy7YLF1DWN/HRfc7s7/DJcN4Kq3vhRupqpWRlsV41CeQnZoIxCNRr/cKEZI3
6nLtOsK0mdb9qaoSMsLmMvOZPG4gC+0N0vZyUvccDOdCpG7Qd1W2lojmm8noG8jqC4vlvKiE9/WW
rmHhbp4ycv2CvhQRRdWRmFPiq+AnuxSVrrSAuylFMGArIgIrERaYqSY4NfM6FTGC2kigoLqE61on
YnCUyrdahA6qckvGAyAL0ghLOScaKr6gKDxoIq6Q5fVQDzwzQU+SYWx2K1uEG8p4Bda60ChguGjJ
P6zByFlGlPqdUxLeKEISU4VWKamJTSJdpSJGcQH1xN3D7dDb5g0q6BN+q3LdzBwrdRHEqL5HMopw
xkzENCapTIgyyY1t2N5NDlGOQ1KcQj14mWtCHjPJ3oS4wjyjkx90ciATrWbOQLT3LCIibbIiQzwh
CtmRCxmSNVmSjQiVzAfiJYPW3IV1rKwWkie7vr3E9LCl67K0suXHPGXp1sqFHKR6gLhRQzAhUYoE
qVPBEGefdM5zmco3ndF8t6sZkBMU9CX0kVJ6VTvunQ7+n6weyiw6x2W5n5L2XJTZ1VBg46Czj9c0
6MedGRg/seL0iChHTd/EPX1QMAjDcquayymsESUqTCh9LJ7TatRMrqtvqqzZjELKiCoBrIV21RjP
rZA65r1zXyCyY4Z6aNQG3WRn7EbUkWG1XPULWY9DDPzP6K9Z7GjUdx7Wb0aQMefqAK2l1nZHW4gv
U7w2JWpMS7GEl/t2gVwMyQDBZiSkm2pDmJSeW8XGCRW0i0LiqXFuZqYUbmsh/1SFELQUklCp58kp
KoV4SSEYzakabBSkll78LFGU5kJaCmH/YQHtZShk301CfmoIIarcBNbKSqpvTEWDI6F/p3iyWSZk
+Sovc14Gq1YusBN+aIs1reVl/NG3zEJyc7oBGINOphhekH34tS4/zbF1AhDtM2Jh3IvYFQNGq0Ns
CB+LCSw+1m6/sufNEJQY9JorJ84Ospn4i1AgGnVwTkgW8WIz3Zak3O1Bid3bfeBxZab0jn6nyIbK
6B7i8sIIa11NybSuJfU08RpcWaVzg5Z0O2U6GOCMrrGVqSu1SjislJq6MqwOQZCFvyNtgRXG9WtU
g3vsZtrZhLyvFbv8GTpvMeDMttNuUn4T9gGFSL8iQ/hoX2GH9+UIJnQwMDOpAsEaX0YYX0OygZZo
reIkQxTcEa3Gn7NtiLiGQeqBEZ6jBPIWhqHhoEsK1MxQmbcGs6+poN+aV+AWyxgrtF1snQklAXLT
cDeVJLtIXmqTy4Pxk4mJ9SK3S7xjOV6Fk25gvpt8Kapv1RgwOAksbhiZPVFGSFucsH1jqk/gEROO
xrCW1VDXHO2ZVaIau+2N6ajLbYJzud70RNoZaXXGa5TtKmW8hN10I8/lmqn5jF3DOpS1syUGbkQf
M/f+2Ks/UgczdWtZ1/hZwC9ni/bHCe+/5ylR/X5xnirBHrz+Xfwv/q//HKVUbMICGotv538TQ/9z
lNJgCGrklaioHCFfUIn/ibWw0UXi7GX2zhlH/MF/H6XAWgCz5W8hhcRhbP6jlBP9PcXkw9kcqTza
TBzENlREwkvfi7oP5Qp7CyooOZEvuG/w4hk22xusjf6tSfr1oKewLkVEnhSwviWK8xB0AwhoEaRn
GNY3QsZvLRGxx5nR67uO0D3S9xAv7VrS+FIRy9eAFALgjXFKpPalmvIyihw/0q/aQ17Xu3ogpXOJ
L1on7XKi/1oCTBSRBYiuly1mxgFvtfa2IDBwGSXPAnXVjWbplkQKpiJbkM3gRtW6Z0ekDhppcT2n
koIORbqTRDJhIDIKIXBgiDMPWfKUkWI4hjJMQSO5aUXAYVO35AAah1xEHyawDWYRhihX+iVic1vJ
5CQueAWGoj/YbfC9csZDrJovqghW1CciFsMiwL5K6GKoSs8jKYyIwJXXZi4FIMP2lrZ5iElsDAmY
XhHvUrusYPcTqY69gAaWoBvS1D7NIvhR4TsEJEHGS/XaimjIIUjj9Qj01o1UgiMLEiQDESXZ2Pn9
TLYk898X3HpsUKROTna96d5jKDFMMeBWfBsYPbjbS6pymjTIruxFiOW8IFg0Hb8fjROgj40s4i5b
ci/xiAEmIwnTJhFzxBm7HsnIjCPo7IPKEawGWF+LIM007Z4MkjWBlTTYCMnatJuTqmghdO/w7ERA
aQtyOcl9ZnZLUmcb4B5oye5UyfCURZinbcE0H82+WpOG870IrdswmDeww6Y1W9l+LtV3x8KPSa8E
RRWLRvfIP9sWJcuiPthspioqySjproo2yY7OlN+Zx1JJM9IIcs/kffJAhUWe1bc/c6XeJlazMQdS
87q+CX3+w5PS1+uqRMclp8PAELq9VYZmkxjpsz4rbOQ9CBbbOKD8d9yuZKZdFPl1n0SzX7epr3f0
FRdGq3OEdg3rlw1buYHhnKHYycUMbdY2algeUkP3Mwdhfwr+QU/HfRIx/4sa6nNgj2j4D91i0Cy2
Y2t+68lmeIxo83pR6OAEN8Fe3agCCRZi2culaxlI9A0aAwicyhT7nSb7uJeh1qnBzzScfgSGIyPT
ydxCrq29VUwPrdl869IedltZXlshes4ovVbYPvDyGi5aLK+aLKbR1gBRRW58mxEr4hKdL4cN3LIk
7NfJlkGyvo4CfQRXYS1uMrRQNqGod+Xka+b8Opl4oKfpBfL6Wnbme240g85E2s2xdCzqaEM6+K7g
cGyKxNkkQ/wYbBOUyakNEW2ySR3UF1I9ukelbrDloqJQmYUPuU1uT4xGIia8j2wwESixGTGK5FXO
DXnoyMeZp97HxOEOeb+LJdh0aWEhV2u9KHae8oRBfttE2IJJ38FCCsIgN/sV8LOtU8tniHlvLYYK
uUOWN1kQsnTH06r5hAhhNzZahbwO9hlIKe4t+lyp3/Zt89Y3wyWZbK9N9Ds5DjG/zqSPpRYBeaC2
9ZQwWBl/N1Hojg/B49bogx+oC3k6h3zXOaHttkgAAXBPrlTjktHyq0DmQB1hDU5iQ8TTg8bT+9No
FYdJot1HRryrhzbKHhh+RJ/25C83s7xxrJ6wueFRVqtdwCnDHGRrnSYZ699USMh/yhsNyZgbL81F
lwFXh8kW8h2xqMM5MJe7WiCx1e46UPt9Uw/4kQ2ghfCol0X1TbNZa5Kyg+U3eC0kN1ZhzXeM7iAX
i28XELEdjMV1JX9jhoYuVe1ftNjO3BFd/A69+JUCJ6gKw2tlsY+OTXjHskixby7jXibTHG5O5KKA
BVsuxc5OC40eCt50pWWSn2bzlerYP2Gr4V6tvNbs1m1jSz4w0sIdAdbOXXXVWfb9FCMDzg2DxMrc
cEjZUrOnFDglIvHhZ9L2QBvkh6wvKPvKY+S0oJoBGXD+91QcMEaImLFXqnM00S9LlvtUUdGMDYRz
AK1pC+O6kQLk7rLzLJnN41RPhzGPqlXb55arVTCyleigpvjQJ+NCUMdB70RBqs+7oHZIBiaTc9a3
wNjSB8ByYyrU/oovLd3o2pO9zuR4pxoic3nMF4+Am+86ggFvHsoJeany6izLRWkQnHNcCL0QDcpE
u2EVaCSfdETzOB2N59hiucRJ5kVl/Fgm6lVJkAhmH0BCJTEdUfsGXt/DxMVBff4f9s5juY0kXdu3
0jH7YpQ3i3MiDjy9E0VKmwqQhMp7X1f/P0nTTYqQenrABf6IwSxmRiQTqESaz7zmvDL7w1Hl/CpB
5EK5SW/6Qfqa99mXOCD47VJtlsfkgTa8wDZCaheEIeyinNy5CZvLsg6DuRGDotdTGV0bygRI6ijo
Yf1NyVsVXZS/whO61BZdcIiJJnoqmqyKGOltpacqIFYOjuacK9fJ5M5YtBfFlHxm6qy/XFWn8MTn
2bReBSfGEsD+Klv4R4a3Ck/95VNc998AV6d09psAl5BtU24JcPmrPwNcBRs/XRHkbCGDLfCvfwa4
CmZ9tgKeQeBsseH9K8DFmQEuiJDAQcPmicL6JsCFMATnFcdfheDY+kcBLnHshxUkrABRx0Elh5BU
/mkFtWqq1oXkDOeG8PUAJZLOK7KpiJ6Q7RaYBoQ9dvStIRE8uml+2nXNNW4CS8OOwM6XI2YOvmyc
9GlfTNpQpXyGZaeOKNA0HrRqoSo1rQWApqseP9RLVaf6BnEC2NngGYgjZncO9k5TyZAfUrJuuIDj
ZRJAEXE79FkkoI0TzYMMbsftNM1amcKEFU2DrIMHaEOCaQIvRZJQvYw0KT5sE2h8CSxVufSNlWT1
WPppbnWIHipKDo6ZGtMgj650xd50UXGd4UiQJ105K2VTOgx7qT/ynJiopXbyc7khhlWFhzujuIRD
kJc7bI2aWSUyXbdzTmXy1kJT40nvtZdyNH5NmvwGa4hjhHy/wx9chnnChx07dZra4YluoBQnYsox
tx9HB04BqrLF1Fbb48HKsikM1WIqNXQefBOxUSTdIl+rJoadLVwOWksqTqnW3oWBUBXTcnca+Ek5
74zhfgzUMxwh+D92fhXgxYsBgFbYF5VmYxGBnidXjC/8uWTQkAX0T1tBiybPANb3C3QNlqpcHzfi
Ji7HzWjbnF5We5z2BsY2pWUj4kAlMG2qnBoOKOfSBsXneAQrnarf5k182kiYFRR6Pm971ZhVw8YF
+khyLpygPaE//qOxvGxmRaji1PqYLRS5jimvqBduOWAgBnQbC5r80i/HtV0giqzUMC3Q6DGnpY7t
U2pi4qXWX8Mwu2zkRMZYIO/Q8aHcUiwMVEyn6FssG8W87DvvFo0iZ1InFbZZdTxrJSwmbZPlalfQ
mUHhUyEeRnllxSnnYwKGJROYrqBwvuZueIEHZIHVl3nsdjaI6gIMGqYUa3kYhYl6trZ6rZxWvRTM
KskdV25N5IvCM/hjT6eApjbIEiljPut1D5Rl7V1brsWaomyzUpMEcTpqIU0aUT3uR4nUT+Afdf2Y
m+8SB7ZvKQ3mSdon9hzxj5PEVFembeMm7DnnfVpVs1hSjanlK4eyB0kUfgDl0Q7VP+Bq51kvHZZZ
jYRBFz1wE92GiYakLnQzvUGw1Us2HFJnpUo4VoKlbKG5zUPbhlBdpe2JM1QXWq49hsIFAnfZlRYP
913onPVqeh2kcUgIMWKvRRpbSYZHIByGi9wrCbdcGFZZAS3XjyfEk5twhLo2qO5ybDpKtLFkIrwu
gjtPmIt51L+9IJ5LeXSbdtmtUvrISrT6upTD76lJxqHUIFXzDGFYyl2nTWZ/DUvpGLrOESoeMrYi
xtz0sf1CnBg8ezPFURTAniN9Q1R/iY3ISVZiwNSBFsOZ2rqrR+C0kac5qza3nFmVOGhdKyw86rv6
uRplaJMUQi7wv9ci2gGEHb/to9HOSIN6+Hgvij/7815UUWLnZtOhS9P4eiffrh08iZm83pcvVR8d
RTnk/ixqPsiZki/St32t+jgH/Lss29ymwOKp1fwT5qv1JOrwLqzSAf5RPVId/our+6cOsYTAsFkU
VXKRKrA1Tyu1odsyNAEXH2zrTnXQWmpbGz+t/IFGx/cxG/0lSci1jv/BRLPuhxa/hrzxViWNpiIP
Ukh/RjxrdOtMrhVO+bDBgj6HluZmDtQ7b0DnCTrcxM+9M0lyo2nb+jVyRtl5NdSPkhnlE8PpHvVc
yuZ+hmSTQ3aT2cFxrwsOghOeSnlxUcqZMct8bcQhGm0lVKlj8OLlo5RRASmb8r4N6gV8G5zZVfte
6pWF39Uwn3pvZVn1WUqzhdKFUKAvum+dLd3E9RBPw0i51oz6zqMot3RsOigKJbBzL6CsSvOxhtIR
lXOgwGscYLJlBTR/YpPLIzx8nukF7K5RhUNoFROceS97VT5KZGOj18lSK7t1pQfHujpEcPykaY88
AAxBfttZJXJ512jBYdZDsseX8i6rzDsnvNc6Cu669lA5zkOpVuflGNwaWf8Q6SiYUUsc6TCaF0jI
0rAwulXiB8h71xJ8NanxFnTJrtFbPkNU7Gyk+TYNZaTfBhVJZ6Owk8MQ1PvEUKhWdbJ+IRldfMx9
hCuw5FtTr1eOQ9/0lujEmyDl41P01eW5XfU3ZiUdqR3VHozgjuwMdTbZSc5zCDGQ2Qr7sMxTdTnU
HeYUYTYrRUKWY3K7jCy/nIUyV5TZuv3caFRBHeSn1qCukIX76trWAk++C1Nu0CBJuykCEMWyxGwP
pUEbo/CI7Ihua1933kTvRk5SuTxEGxRarCq5SwJTd9pl7bFsyWc+XwW/Wd6HqLCarXFBqe/QC0my
TTVENipDTkxfOQqs4Gg0b2q0uOXE+1pl9QYClEQFR80mRmPqlOAdH/LZeJeGRU7WxWFs5bcQNrmh
qu5GchCZ5U9j6ulSMdfa6HqQoH9oqklbV8l+JBWKBkGWn5K/nEc65Nt66OF1ZR2KfW03722UMiyo
VeyV0p6FWaBOkW5bdTWc0AiN0nXtojwqVxjYaSUeKloUwqyElxPcQC9BQoiC55y9Bnm7xbq8tupl
ilckl2WZr3pFdadaJh9jx3iqp0iQJSEi3KMkXaLUCGMxLVAlU5OzICWkxYvMxFiZa7/3RuqL2Trq
C1mstWtdO5KGH5GMZJjkIWxrVXNt6MOZ71tzW88gvlo/ELskebX0H+Uof3MqB5vD+CzHlFM1FWuC
AIQ/NwfwsENSXPlNtY51tP6D4dDORjSxHLJQuuV0SeiI2XR7Snv4oVbld09qjrusvgTcelq3YbSA
AD0bI7S5HHqjioy6PjxtdRI2SHQ0jo8taF3/yKUkwTutUzF7tNZBUX6nlM6FnkHEUTOC+L6z0XpF
lxwFfsmm7U+jX4GFZw4l1IrYfKgVG2KqCZOGA/m4ksqejmqDiNrYHtWu1k7V0rsy/X5NmYYKoR7R
Ay+qmPCIBlSlg2VNEM2gdiwktK5rA4eCPkznce93M6SC1Tk6hiWbLmNL2CZGj5S2s949y4RDqt64
YGAk7xoziPMsd64dV19p/YDdRSpsXIb4ys3zM89TioVX2/Fd2VWoS3dIw8iWKpg6bGwjvLVMrSbk
6KIFx6qOdp1/36cZZUI9WKDde8SBfjXoWbsq6P3PuAAu8QpQJ4FhzFr4w0ufmta0rTR9YpjZF9dO
j5BE1KdREZ9UfnsZGBg1qrDvXahhsExKZZ56MX/bttcGzqqrMW3u6bg3EwcZ4QlJmI/Ub4FY4yj9
cHSF+8Ivg6XtSJcoA9+bGnu7iC2b+FsY1/b4q6XIDKPHhSh9mRV3ip2409pGKC0ZenzFVPQHfAhk
s4wz28hTGZK5XC9ioZPnUAHJWUidmy6wySwnCl85oRBRdKfBgat7FFwcqGdTsw3MQ6AKBPs64tOI
WLNpDJwt9fbGH6LLjjtxWguj2MCocGi1DA+e9MBys3EAa0L+jcSNJEsaO+Tsw9NBolfsdjjgejIa
wVJk3mBjtEQr+9HIjIvQyzc9vUuCxRCFQAxcuxIhUbNJT9AMK84sYzzl/oeyY6UrWVEO6zgvp/qg
Nki1ydkdyibxYTUWN5rKxkfg/lYa9PM6qB+7Il44bnjDZS8fB2aF4pztHFbIjVE4/eKM0UqTCBYt
xCNhlwOVGPRu5RoaxkIDWgMtdV06F+1MtayHoM+kWYLqKqS0fFwMmX2luEkxNwStKkVRYZ7nEO3b
uHEP5XJYmyDe+D5bdUEfA1dOsMm2Kx0FnrcuITl61KfRY8mXWUEpKrXyiyxCtyVzZG8Ozf4hD3s4
jHXwTZcDWGiFeUFq+jXTzaWbx/1q9LQfodxZnLHUqlQVWqPdw+kzLUQmkeqOJnI2sPxCEgUlGCB+
jMo3s2rPwMYEc3SJyAUkTm1/IIVD7LCbmlK4llP1NILoPK0DNwSakR8HLTanel0uhxGZ8kYTkbcc
rUIarFNQ3tx3wpWuUN10moVlPEe+5NH34NIVtlcuAKbI2JS27SyTBwAnozhVzVuq1wp+gK4xTQrp
i192N6VDWpkGzjTrYuwC4dB7DemPR3qBNbF/XZtWgQZlfdh4mJMksnOjp82FF3fOFDBCN09yCRF1
k/2E2sei96R4BkLkUCJyYkOGMoXX6j73EmFfzbYvfa4QFHpM2EPUvjcdzXspN3+YMv0xzeYSSOjX
o2T7wxI4ADVWH9qhPHa4ySeDZTxUWLAUdlPisaccuamWAmhqseE2o1svSaopWgnq1G5gs0kJLbZ7
2fZOCAywwUD+fKI04VFulIqgfuM3H2RUREt+ZkffPAmcRdKFX5QSWFTeSFdW4uDekmSHutPd9sRc
mDeMiFTmWTovajQCgGmA6IgKHgdN/YndIaRLW+bYLrIL2x5ED6ygMtB1P0zVoqtDo3HuRdpCbpu7
vGXr+qVyicUryfSgnWpmUCOwHpYT0CvXZsB3BHtbI7zsOafL9LTXy3RRmvqRYtcPdCroEgb1bdGT
AiLFcDPG8ImH+IuqI5HSVRyplnwPF4DFT/104tRWN8vi5iSvykUqQ7WSh6rmOISCUJvhxiE29lv8
dHH03IxJeTQ66Dd45XioqukdhnBI1Yc3eQvqoSLKsyKOPr9gZfoO5iYZXc9Z0VhLuS9/mD4hnZX1
37SEmK9FCDag0Qmz8BCi4MyP0jWGnPdh3ZzrenGUBJBTPVorbgtaDlbzCg2Tq95X5r0B0dstsuu+
cla57hw6BmmjHOKCok2HQBkQbUVoE1MlLIJOUPo6xAVhGhtyqx5VoTJMC89So8s4Hc27IQtMuB0S
VfTL2KgRzhwELMLIpf9qDyrPOSiI8l+XZr80rJ0k3WxJQvm71yQUBSbKr4oFVkChvi/zoz+Lsygw
odxhWmgUmTIssL+Ks/aBTv7J5aniH0OdlpLpax5qHUBMQ5XQoWrLDfnPHHXNJyLlX3moLdAH1HmB
hKqODqbUIX9+W95XWoOWZpYk56PhH2mUOPQWk6Y+SmdjGmaL1iAQx07sVM9jAhlNX8mNsgzy+txv
aCYCanM69TJFi7nRlKOuytdRo3+DyoU1YH3aj8qJ5+ir0YcAH0nZMPUt7xvqe5cQaKO5mSRr8BXw
KvC5mrhxk09HhWwoGUAixRFiBHZSp7eZ5h83FGhOUjp0ti/ay9xck5FGfelE96ZkLDRXufCJ5sEv
Egc74R3EafxSU/PcJvibqQ2ycrCTg/PGzB7NLCOQ6El+R98i6m4j5dAY7JO6hsTvJl+Irjd0Qk8r
3REdtS8dfSBUjr1lZjbHpjFqXNbmOazio7hGS9vxjRsNWZYxq793vrmo2rKdlApBRefYF7pTokYH
orWLzsKOYhZEaTYhOCgsIiVwFtKtI/CiGeU82QhPKE/2kxH7V2yd6kOk2ArO25Es2nSShRQ633sr
uTDa5kRv7OwsLy7Biy4SrtnBwnXCAFGg9VeDQvswRKNQo3mlKcBdY+mu1d1bU5cXZkN641CYo/iW
3AcDjsaSrAGTR9Ba6cOzoWXqiqi5lHuXuDQyk6+FfmgOlV1TYvCQAi+s9syT7YULNGGSoNoxHZr2
2sdniP+NFwo91lldpF8bPoaLKfs0CrikscBYGoHM3NgIOMgD+E2+hzCUiDhkO55lgw07YdCuAhue
Xuc+6gXaDoFpftEz80pSLfzpa/PESVA7bwxUJvycxD8o/SsJSIYBCBFdSGLvvgi/2G76YMvBLHUT
IFfRY5iWXz2HjivdEwJDHmqVu0qHd64L1D3rvSlOewtNB9sWWABasgBaVNDMRqp4xhgBEYBbouKI
hM7PADW32diGkc90E+yJbOV3GeZqDg39E99gtouYhMDLECFOewWVvaqE7m9bgDp7rkhTcfJT4Gco
iUdkEg0Rt8wVmAVgZsAS2ig1ps0kLlEORpjwRIGhhWj0XWBaJ+h7XqUtAjpWgMOmpIzjMkmJ8FOs
5BbOwJ1HCfh7nhbXdssXb3TebDDGM7lxH91WUmZaa1w5uX3VdO6q08CxKa57aEUSfHoWPfr4CNDQ
ByEbpPSjelFFQxQZxrBA9kcahzVAa2y+KurmMTM6qbFtr1s0DyKT2gwQDCUGo4sA7zIAHTwfoitU
xhUQC6jpj2spGtZ1a37x+vZLFAPf6+0LxMjQCPRGMgWV+E4LpK/I4xDKIm8lzOz9oTXRjyoQrVFq
IezRkpVIw5rvdTiiao9bQa6DDEWTUpX0jdpXp7EsnfZync4De0jnlNTXAHdXQ14b08wE9ilblJ6H
zrJQRCMIR2/qOrFQKSmqWlm6qudMkfXl87RxOusaViD//kONsSccDKHOphMh27F0RVVmUyUsCd1M
AiIP6yYvi7MqBiOKrNImz+VzS+oWVUiuJKmxPk87i2a+Ei58eSxPXAVrhRQRtYQZP8YHkXJIympq
6vSbjqXMgmwZef/AdqjTEbDFg7dydbNfZcqwLkxUSx2ORuLrRYGY+9T39dOx9s+rWEtIkmR7NgTa
NS5IHbDH7KKo5GVY6l9yhMUQd7lWvEKdZiNleTmz1p6XH+Wmf6TycLMukM2JITc3kjkqU1zNhWch
tabSYFFHlfutNcdvZU0dodK9lRdLdFWUZp5wwKGg3VzntpLgWsb3i47IzKb+Nu0sFNGww7snaOeo
yKeZ75xz0C29wgeWq1dfcFD9Gqn1bVnYNLij5lZ36J4oaqdQAVAxcYZMiNOLb0wHH4WVzEMkOla0
w7IKr1NTW445cipupHzrIuoYDk0bI3bCqe2AVtFyCEil+rU1L7vqaHTvOqqBvnZJVWlCGe8rYfNN
gC0DHvH10kyzMzWn+pnHSrWSQ3OjcNDPld65IFFla1N+XUkGkaBljsE8Ri5pEqBkgeXeSZXH6CGo
K6uPOX4DnNgG5To1zGMf5b8JMpq3Vk3NQy7qo6I+a81hUhuIw3ogNJCQDWZx5gRLtSiR+iyDW2UY
l1AswhNKRwr+F+WpM1jSAoB7tNDqPpyMlEjpoZBXG24y73LvCHdlaVqZuH5OlMyjoDI0dIT0PtvY
QeKfdmmNqR/xu2HdhlnSLfEhEvjeYhzOFKoNaOHxPdO3MleeTbMqcKcZ59eRW490/7USralRohtV
1fpha/lnwItsG/WbYViOPQQQP7eF7SMAZadAUMFQTtXcOOQ0OjJdlo6tUy1FF2Ymlbr2NbByTogW
KRC9klaE1WeYw3ur1Jc32iBvAHjfc+UIbZ9+NcgkwzYa55HMo/MZK03JZlEfYwscUW7zfLqLIcgX
F4gWHsl3KCW2y0FB2a4r/HmBbjBZ6wgsRxKoN/PYY7Lz+1o+UnT3KnKtlSTB5AxK61zLe5qeTaJM
o1i+Yfq5xZV4A3T6qFU9a5EX/WVZmcvQpk8GvT9dpL1Ml7WUhRkWwCGl6O7SuqeOF18bKNmbsXGT
OMXFUIRUg8bosNPNBVJfF2ADUT0EuqXU+Rckix84XC9qp0unsc8SCMziSpHKBQccnnk6HTBHAa3v
Q4ywRjB4Zg0OK0zOLZgcyPX5Dc5N0TAv+5r10HnxzDdHfCnNap70WJehe1bR6FLXI15RkBc6LI4x
PsDr+owg964s8xMEkyzyZ2muoLeDvso3rhYKVeoViKRjdu7KQhh0UnT+TQ4AHeHa+LRTuGoj5SRw
62M3zm6NXLmD9yOsIK3bSu1Ps57UtgscyuOSAgvI8L4mAw7QCp30MTgq9fKUQtMi71RqOYF96Rs5
d7Rk3uB0ejr2GI2lwX2sG5gdUG+ttOGk7e1mNZQDiWNvniaKnU7NhINQAsdnBFT9DH0VZepJJ4/H
TalpKBCDpzXRNg67JLnQQHjNqNqhx9GV6gx3T6DejSNYMSrl+SRFIw0pStQLy1Wlq5TR5fDe6ohh
7L65sHLg4U6JSy782eokKdCRK7QOUCsdbDq8yyjGzcUhpybmdGs2lxEjO/fFrKUjM7CSpelnhw7R
llA+1DBiHHFue6EP/xcpI3pkv07HviIA32zTwxV/9mc2ZpM9qaqDl7ICv/ptS5BEDQVlBN0N3XnR
iH/FgusHDpkYGG3deYJ8kyO9ZmPaAZe5SgqnyZYCGlz5J11BAYT5KxcTgiAWTlciTbQUMKICGfQ2
F+tlyWvLMm3ORnpVBVveA5cQ2MnfEadlwOs/v5GB7K5ORRP9XVn/CZGjxKjrmKGeExkazg1qsvi0
JtgKjysbED3w8zpt9EN8NcZrmBgInZmKfhva5G55FtpHpTc4x4qV5LQcSqO/oJZzpQ0ZWZI5eFjV
tlFYad/bvjDti84t2hbJJhAMrY51qhlJ8XkXxmjOB3meqXOKcA36WRL2OZOgcim8RIMzFyh4eVal
D0asd2cW2ee53sg5GnE5mMRF5vYaRn0NhDihtGsFXaady61Q4G3j8Lysow50KmpIvnOhKfLGQLY3
5VJyK/mLBW4gRdbXEPq+qsxTYCwNss9dOMnc6JNDdxgKRFUT0BcoBMdD8cPHSJYy5pmCgnCjtde4
N3Ljwsr7ZkWwa4R2yqlk5SVkLsM8igMHnGpCX2pUIYNLkvZDD6t0pbu+fJbWBQzk1i0m5GRoEnf2
KfDXsyqFAzeqdkvIN6rLOrVuBkW6Q6qomKHPBeC6rj3VQkEe8SIPwdw5OCyss3UxBEQbJTLLm1Kv
tX5m2ql/VXmthIwxGBynl/s7Hcw9s4gYMGKklBJ1qRxmIdJ7hVmjOC8pytmbvXfxvGj/SBsU9Wn5
VP/zL1X0r39ay7iByrij6WwOlvX7tVwMZeF5uACccQGtOzKNaxTsJ8BUAQumKxci/Mybo5E7L+fc
4Ef6QptDBZtGf7PWjQ+Mfc2yRLGEygelDu6z958D3cCu8So/OyO0P8I7up9GCJyS1xCN0EFw5kXr
CqV7E2aaa8unnlW6RwrfkRkVyXSwEH5w8SC01fF73WfOolJpt9d1vnDt8btlIP0YuhTX3bG/LeIc
/+SywEmwguPYIzZH9kOHxvD7+aA5y06BweGOBJG2OxkNZzVqmAyr6hL1R2VS1CWLwgH9n6QrCvKz
TNNJC+V83nXeiepikRul0J5aoowkCaGeYkTa9Y62LDyBr9a8Gw8QnKIlp6RWMhlnvpQjFprlFFT3
5fD691/x+0PkRV5GxlZCR7rb1JyfDhFnVDsnT9zyTG6TcMlBAA+45G7HY35uZAFyzsXf6WFuFzh4
854/fZtS31plG3nVWeFp3wyXKAu0PvQOa6UnDbLzLk1Mk2qKhQK/EVPspUk2nIwoxEIgNk6ywL6T
A0q1UC1/YHVOOFcgsWheyu74YHjF96RDgrBIi/wZRfv/wZ388hFn63o9f3JIuWw25XC1qehDVq/O
h+KnTzv5S/af/dLvB3rxZvky5Jv/+df6MQnSWVDVZfBQv62dGobzMxT26TM9feDfDRGvaa81j4yt
WQeqoeO5rTigV3lx6uBt7r38mGPMOaAWy/UKaOTp9bTk38zRr2bh9w/4PJ2//51fPwESGsQuwJkO
H//nX8+V5w+g4H9nJhjnzVRQdybSURUqxE8vDsZ3U4HCAMUuwFEOm4iwat8mAVGt/2Q5vJ8E64BQ
zsZnRXueBM6w95OgHqhU3y04fPs4B1xZgKnfxbz/fCEQ8joavs+c01sXAnuCK9ICmf0cX+/bQhD3
9s6T4CCn4VC4U8SU8hLL5O3BIByiYHCZjoiF93A3EEmxdndcCfqBbKiqRlD4i5VgH6ArAllWAejI
i9NzL6fi5YM9yzb9eXf9zT3x/mCwBSeY5EcgPN8vBJndIDJE+AN7PQfPJ9Yuc0DCC2lEl391MHBD
QHxGoV3YGu/lQjB+btD+89PROgB+S2av/yJiUOUDDa4wUmLP77WHp+PzibXLSoDRjsG2g6nP9oOB
01HBahvwBVHEXq4E0Vff8XS0RaOeeEmgvMXrwxVBu94Wl4i+nwETN9vzB9thJQCAt0TCrorlIF4f
Aiadi1TXCJiez5893A6735P2AS6JJr4Lz3Mg4tAPdwTwCzaEIMnt8T35vFt3WA+aeYCiIbUTMqfn
109TIYJHG29MW6gz7uXJ8HJk7TYJHAwazhgvwePPWSV3BBAapNeEDNpeToK8eypFtCD8TnE6/GkJ
iMsBU2CLCdrTp9ef45ddloB1IOJiosKXc3FLNk1pXEGxfm/3wc6ZpE5ojGGPTr/j5yWgH9ACYHLo
gDy99nQhvBxSuywEDBV1jfyIpfD0+hAlqAeOYiiICe1rlKDsvhvUAwtsvsFEPE8Cwde7C1IxDhCu
5NYgxRKvfc0flOcTa5f1gK6mjIOmbL1UV36OFRQRVjom7MN9DZ0/OGz/J0kUl5/F8fhSWPgQNVJm
Q3yA9um+rgRhcrRj/qCxKYgJbfNXdTaKkQZlBRip+3o87p5EGQeok4uSwvPGF4/6/mTg/CS3oDT9
HKbvX/4gLrcdVwJlNDr5KHL84ngkYuKiZJbsfY2YlN0rruYB3zGz8Fps/HAw0orhZ0zSvq4Effcz
AbC+jligYf4qWlAoO4uaK3Ty/cwclJ23A2GjTvPBdtTnYEGUat6dCaRPiNajU2Pu60p4yet2iROo
MwoNSkN+KSrwfb+fBBUpSuAJlrDj28scUojG73YwshKICE2aEL+oJoiDUUPLCDbKXseNwmpnt6mg
U03IREUBStDro75bDxRWUG2ygILJe51SvfQGdtkadKpFyITqxvapUAHZgflAj2Nfzwf9M/IIzgdF
lwWpS7y2nA90qxAe2dN2vQGQ8BM2hSabKLWYv6qycJWgBEB/EtIar30NpF96RTtsCgrxdKSwYX1d
Dx9KLvIB7oi07pTnoH0PA+ndY0gCaWAJfy6HD90IDknyStvhjNzTS1MwN3e8KcwD03oGGD8fjx/C
J4A8sDDB4O1rNmHsHENq4o5QKCjxVT+9eNR316XoVVNyE+4ne7oSPgiZ//Myi2AFYwUDfu0XK4G6
HAKQOpHFvk7C7mcCfQhTpiVvP18B27IJfihzaDx3a/b2jngOZna4I9gUKjIKqLK+9KW2nAyoWNGT
2N+YYfe+lI2x0VPh7QXAsW0ScKFRUFp7fu3p1hAeYjveFKQMyNfRt35Jr1hh7w9JWajBCm/3fW1S
ac+7dZdNoQHokXF1eClAfqxA0soD4kHZaV9jBm33QNqGywTqE73Y5zX/YSWI8FL8h1qteO3rIfmy
UHdZD093IsIHosL/bjcoFk1LzUbV+qVrsa8Hw3NEs8sc0KQywHqDYfjzDHw3FURPuqzK9HafI7X9
SyaE5fKOpyM9ahC+fN0vtdifLwrWA0BAmctkTxfCC7Rgh4Ug4F34jNvqKx6eR32/EFT4kbRugbPs
6SRou+cSFjAGIeBK4vgaEfw8CSiVM00vndE93A27x47Uo6lG60KT/en1827gSFAdujeOs99htBA0
2vFggCBh0b6nH/fzbmC7WKDhwbbs6254bhbscCRoBr1IVEAJDJ8XAo/6fjfQnSGWAgW+t+fizhck
jQnYLwQD8MKfXh/KC3iI2VwfzNSergR99/RBP+AwEB2oX3RnqLahqEh/BprM02tfp2L3K0IUHsFy
CFr/0+vDpoAuhEyAIe9twCQI17udiwLuRwufW+Ll6/6QRAB149BkOezr8fhBMeKf19zAu1NM0uRf
USNECdqhumDKe9u33T2dBMuhoYBB82n7dniaBIF/fSHk/FsR07/xS38SlKd+ED8+UZODTbWNwfyr
X3jl5H78+RvO7RPz+N1vCqry85s/M3PF///fd8xl9Ykw++anrwTap3d6+fuXR/z45u/e7PW5Xv9x
FWzKdfngD08/GF4+6Nk6geH8fzH/9bj+mTEs+qev/7aFZv12Bfx+dHwCNq8D/UVHFizUvx71Jw73
vz14sn7MyteB3gzO6bHz4BPhk/Q6zpux+XA7jz1dx+uWr6R6HevN+IQeu4+Pjmj14Ssl7Cbn/YTB
07pc/zHNqnrbWxDy7vwWs038x1lWbp1/ruKdx5/Hf8yyksXzOtab+edO2nn8Rbmp0m2Dc6LvPPgy
3qTp6zhvPvhnbNdVk9xn8WP9cXjlMzbsYZJvymAdbxn+M7bsIbLyW4b+jB17vCm3zLnolO/8fR4H
qbflIBCAyZ3HPllHW84wQVr4hKGrarNtTj5jg55k1R//l3qbeLNtZj5ji56uHzmAX+fhr20kyF07
z83pGjeh13HejP0ZW1SMjVzklo8uMGS7f/RN+pg9BNtOLwHM+oTxy4fN4+tAf82NwPrsPnjGZ38d
583Yn7FNTzEG3zL0Z+xShsaScTNsGf4zdurZOt+2Wj5jn55t2vXH2BHk1mds0fNyzRGwZVI+Y4te
xOuHzZbYUdSkdl6HFyhcbgvuREd258GvAkLHKnjcMjOi2bnz+Nfrh5KUIK23LHfRSPyEN0j/mGxw
W9v2Bp+xVa/X4g3KdF0+bj3IROvnU55iFmy8bQ/xGbtWPMSCHfAQVA/b3uMztq94j6NsXTTbbivt
M/aweIeTJqj+OL8Pqnzbc3zGZhbvcrquN9vG/4z9zPj1+o/Jurxfb4sZRKX0M9YT7zGNt7/D52xs
8RTTshlfP+5fV6TAG+/+CP56a06of8qmpoaxdfI/ZTMHVYTzX/M6CW8m5lP2chavt0UPota7+6wT
mCRbLngBD9x98HqdBlW8bqrXwd5Mzads3d/ZUT9p2O1Qffqy8dfbpkYQT3aemt87hu780RtOgi1X
vJBE2P2j/95oZtfP/nvh5F1H/5bFW8550bXdeV6+NfdbNpIAG//N0NvKsn8KIH4s1r6qO277s/e1
aPEbD/FmXf7v/wMAAP//</cx:binary>
              </cx:geoCache>
            </cx:geography>
          </cx:layoutPr>
          <cx:valueColors>
            <cx:minColor>
              <a:schemeClr val="accent4">
                <a:lumMod val="60000"/>
                <a:lumOff val="40000"/>
              </a:schemeClr>
            </cx:minColor>
            <cx:maxColor>
              <a:srgbClr val="A1661F"/>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accent2">
                <a:lumMod val="20000"/>
                <a:lumOff val="80000"/>
              </a:schemeClr>
            </a:solidFill>
          </cx:spPr>
        </cx:plotSurface>
        <cx:series layoutId="regionMap" uniqueId="{D92A2A6E-E0DC-41C0-80B3-B776221E59E2}">
          <cx:tx>
            <cx:txData>
              <cx:f>_xlchart.v5.2</cx:f>
              <cx:v>Amount</cx:v>
            </cx:txData>
          </cx:tx>
          <cx:spPr>
            <a:ln>
              <a:solidFill>
                <a:schemeClr val="tx1"/>
              </a:solidFill>
            </a:ln>
          </cx:spPr>
          <cx:dataId val="0"/>
          <cx:layoutPr>
            <cx:geography cultureLanguage="en-US" cultureRegion="US" attribution="Powered by Bing">
              <cx:geoCache provider="{E9337A44-BEBE-4D9F-B70C-5C5E7DAFC167}">
                <cx:binary>3H1Zc9s4Fu5fSeX50o2FJIip6akakJIs746drV9Yiq1wJ0iA+6+/h46TsRZn6KpW3TtS90xXIh7o
EB9wdhz886H7x0O6Xql3XZbm+h8P3Z/vw6oq/vHHH/ohXGcrfZJFD0pq+b06eZDZH/L79+hh/cej
WrVRHvxBEDb/eAhXqlp37//1TxgtWMsL+bCqIpnf1mvVf1jrOq30b77b+9W71WMW5V6kKxU9VPjP
9+4qjb5LlUer95vfkT/f/ztdZevH1TtX1nnVv3+3zquo6u/7Yv3n+41xyPt3f2z/3A5r71Lgvqof
gZiyEweZDnFsyp8+7P27VObB89cGJuSEMGIyG0b+8atXwMqbOHriZ/X4qNZaw5s9/Xd3gI3XgNn4
93+fhYdxNkYAAsDiz/cf86haP767q1bVWr9/F2n5NF2qd+X4qh/vnubmj00I//XPrb+A2dr6mxco
b0/tf/tqE8j/CnIR5esDYOyc2JxaNrbMHxg7WxhjfsLgY1nM3AZ5KkevYbxBPwniDYojQ/gmXT2s
1UEQdjjj2HQ4evrQLYQJPkHMpBiRHyuAb+I8na/9OG/RT8B5i+LIcHYlyKVRWuvqEDLbOUHY4ZxS
tn8/g8zG1HQshmGnvxTab+VrP9p7R5mA+V66I0P+39nqUR5mh1NQwog4IKI3FTQC4U0Ip+jH3seb
kE9naD/YW/QTYN6iODKARV1Vh9DR/MTChJroNR0NEtyyTBtjsgXwZIb247tJPgHeTYIjQ/dulb8T
a5Wv1GOUywMoavMEI4dih9L9ihqzE8JNBMp8cxu/nbH9cL8yzgTcX6E8sgWwzIq1ilbpAaAnJ4wT
xxqtsL02GrZOLNuyLAxifvxs7fO3cLYf+50RJqC+Q3NkeHvr9N2VBOf+7wfcxCfMMkE3j7ba+Nlx
rc0TgkwKrvWWb/0mpvZjvTvEBLB3iY4M7btIJ1Ev68OATbHlkJ9xFJDfm2YaObHBB7eQDb7ZS5v8
LTztx3pnhAlQ79AcGdIQTFs1a7XSfz/U1DnB3CaYMPYkpxHs3k2o0YntIA7WnL0J9ZuY2o/17hAT
wN4lOjK0wTYBR1us1LfVk9sNYcG/NUhqnpgEOTZEWH5I8u3NDQE0mzvUxNT+8cAm7m9mbz/2+4eZ
gP9+wuNbA++8aB0cwmoH0w1bzALzbWurg7mObeqAPW+9Avx0nl4FfWuIaYBvER0Z2LP0nScVhFoO
It4Z4bZFnhMifHuzEwi48DHWau2109/E2n7Md4eYgPku0ZFh7sq01ocIp3Iww0FbQ37kFX1OThA4
7TY3rU25Pp2j/Thv0U8AeYviyBC+Wz0oSC7m1WG2tcUgDWaCZfb02fHG8InJx38gCDd+ttzvt/G2
H+89Y0zAfA/VkeE+h8zwQaJt9gmjGGIq+HW7jTkW/IO3dvZ0jvYjvUU/AeUtiiND+CatodLiAMqa
n3BqM1DWzwjv7Gp0wiErakH+e1N2T+doP8Jb9BMQ3qI4MoQX6TrPDwKwRZCFOQFfetPLhiQndzCj
1lb0bDIn+4HdJJ+A6ybBkcF6uXqEKMoBcLVPIIYC2LFnowvU7Sa86ARCZaZjYrC/X8bLpnO0H98t
+gkAb1EcGcKndfZNpo/V34+xCY6SY2PT3N27kAazMUVQd7bPbX4LS/tB3hlhAsw7NEcG9H0NDlR2
kAIzdsIdSFua5nP50Z7NTB2CsUO2gt9v4Wk/0jsjTEB6h+bYkF6Hq+wAQhs2NCQnbWSRV+zpsVgU
oqBQpkD2+VD3k/l6BetN+ilIb1IcGc7LvD+Ep2xDSTABq4s9l4tuB8DwmADhtu04W+VlU/nZj+4G
9QRsN54/MmTPoQbl71fI1Dqh7KnG6EfkcoxxbBhdkMcYKwsxJeBHvTS6pvKzH9kN6gnIbjx/ZMje
hauDFIWCbIbybchF0NeykuQEEhXIgRT1JrbTOdqP7hb9BHy3KI4M4Uv5KB/+/s0L5SRgXkEkAz/n
GHccYlgBJoH6QbxlZE1maD++m+QT4N0kODJ0z+FQ0CECWfYJCF04aGM+JxJ3lC6kmOE7KP/cFs1T
GdqP7ub7TEB3k+DI0L1YJQeoBKOgVqHsjyEo0n767FSMkBOOLWw7bEs2T+VnP7Yb1BOg3Xj+yJC9
XKmokAfJH7ITCFNBIMv54fTss6q4bTKHwAJ4+mzq37dwth/nnREmYL1Dc2R4X6y0Xh/AhgY7y4SD
dA5/BhvtHLWC6i/42oRyoU2cp3O0H+Ut+gkYb1EcGcKfwEGpDxKbhrpcBxL+6LXzVeAmwXkbjGy0
5QC/gaX9GG8PMAHkbZIjQ/lC6nf/zoN1uj6E1WWeQDCLUOen1bVT3+WcEJPCyStQ3uNnqyjgjczt
x3zfIBNw30d2ZNjfqwiOdPcH8KUgMwHmNpT0PftSO2ljMMjgLBbUc24h/gaW9qO9PcAEpLdJjgzl
0RI5gKKGzgacmQAxei7k297bEKy24CQWVPVuSfHJDO1HeJN8Ar6bBMeG7jqHcMhhDtPxEzyGqBl7
PlG1Hc4kFCr7mE3pePTmZTjz8i1MvYLyzhBTkN4hOjq01QO04HAP0KaEIpvbjv2cMN7ZzGCWO5iD
nt5bvXe5nsrXa2hv0E+CeoPiyHCGEwXvLqHNyiHST0/uNGNQsfXDW96jmwlxYOebW7r5TUztx3l3
iAlQ7xIdGdqX8iDVmWBbQ8uZX1t653zk6GYRBxqboO0SoIn87Md4420mwLvx/PEhW63V+gAmNrVP
bGYzRtFzPmonToJPbMuGjNV2ZymY78k8vYrw5gjTUN6kOTKkr1bFASpC4Cwk4ZC1gLTEk3+8Gw2D
ihAIhiEIjm6aYFP52Y/wBvUEdDeePzZk183qIK3hQPzahEEc7LlEc88ORhgOxZh8K2txNZmjV9Dd
pJ+C7ybFkSF8B/ruEPVcsHtNym3YwK/J6KeDj7YJ+Y3N3Tudo/0Ib9FPQHiL4sgQvlYriHEewG+i
cFYRjio69mut/6D/owWto+zt0OZ0jvYjvEU/AeEtiv8BhH/P4sYrj60f//1zD+3p2/n2tp1Q6WHb
cCD9h97dDn2MJ9Ix7GsM9fN7co7QEeBXr9EfgZF9PO1H9iXtxjv+eMXfT8r/XFPODxG0kdDR42E2
J3eQRelzNd5u4phBvR5DUPKx5QC9ian9KO4OsQfLjb+CNrS7REeG9ujKizUkHQ4R2IC6WouMXd5e
KfGBFm8mIghOTGzZU2/jaj/ee8bYQHd/x909VEeI+By070OkH+RvBDS4L29trMwchBgUSf8QwNsF
XZB+gKYi0DKIbm3ucc5/cTTFJHgd8N1hJmK+S3iEsJ/JVVkfKvUEiSeTAMBPnz2eE+FQ68f5D9dq
TyDzDcy9jv/2IBPR3yY7NuxlujpYQBOM7THo9fTZNspgyyOTOxbaEfCTOXoF6036KTBvUhwbwiBC
L+pIv7v+FuniELrcgrAWsSH6ATJ+/OxADVVgYNZBu9Y90v2NrL2C+SvvOAX8V0iPbxWM7bfTw/QE
A9sc6oKgove1jCQ+Ad2PITy21XkA9Ptb2HoV/Z1BpiG/Q3ZkqH+V6SE2PNyhwOBAHESyt85MgdUO
XzAMB5p/mo8/bsiYysh+gDeoJyC78fyRQfq8Y1Q9TDGH32inQyMCBkdW0c9jNTuVBaC0IQuJIEa2
ie/buNqP8p4xJmC9h+rYEI/W6iClvdBm3UZwFt35USaym69CJ/Al9HoEK+1Zr78sHLqbzNcreG/S
T8F6k+LYcK5WeaTTVX2I4l4GhfgI+sPYr526gUtR0Fjey7YKAOEGoTdw9QrSu2NMQXuX6tgQH+9P
OMQFGVAMSAmBtrzPAe8dOQ71BhB9A6d7W45P5ugVpDfpp6C8SXFkCN/XYHEfIlwORyQpGjtLvJ7z
IHy0uS2It7yU2tM52o/wFv0EhLcojgzhr/W3Q9SSjOW8GJr1QcHX02fnlCRcgQInJB2oGdrEdyo/
+9HdoJ6A7cbz/y+Qff16ul83/XmrajV7uiPwxQ11v//2aXLgbsMt0ueNtCc9+KugZ/n453so/6EW
skC0/oqSjwNtbMNx4n4Ct0mzhp4If76HywZHjcxN6J4+No6iY7vldv3rKygVg1p+Rimksxn8eg73
NoRwhSGkOimUoYyZMniEjQ3DtKyfvnLgXC1ctwIrikBgzqTOryscb2TaBzL/NSfPf36X19mNjPJK
w8AIvX9X/Hhu5BfeD0J7DEM9BJSnwn16GF63eFh9GE9gwxT8n7RSFepkh66rWH7xeW4t7IQa58So
CwG96opbS7bytM5NftUlvp5LGWG30uaZklYu2rwrRWRy60KpoRamkzRCt/aiaeu71OmKSzUYbtEg
U1TOA24S5JGsPaV27XuD3S6578wjViCviIJFrf1U5LzPXNaaH9tcnZpRmN+XQVC7QVE82K1zLuvi
o8Jm4ZoZjYQdlA9pzxNPajMXZduedkXXucEgw/wWTOYFjk3zxqD2uW+3fFa1yHez1vA9A6vaTdPy
pverFauDBz9z2jnpczQL+qJcOjnPRCmND1XqpDe8UlhkdshFSpUl/J4xz49s0w2MIRG539+Enalm
itNHHdm3oVVeOVUUiiJMvkSE3leSF54Rk3WRWN3MH4KPqslnUamXtW2EIhvwqV/yR4SSXMRheJrw
7jZH8aW2ydcsD87jgd/juGDCGiopFEH3BYuJGACEKiwqN/X93CWVtepr3bma6S9OWydCFxEWpWV7
rYlunNTEXuhHtxFvsDCy1mnP+h4pt8+L70gVZ8jOr5whOm96GSxprD/UNleis1AjBpVpl9mpiO3U
EKxIPTYknSgNoy4BMMKU4FWqk1NHqmwW5dq55qToF2nuENHY8RLnJb8MtFqTskGCDyy4NeoEiSGy
HjhpkquyJ99TafW2ULZEXhgTfpWGKnDzXCXCT6zAq6wsmedpXpwFibwOM1W4KHWuW0NWLhQVIBH0
8nuWmFRoLM9qRa4KWeRuTQclqshUAtcyF9gyFnHXmG6D67/sIvyUJEntqpq7JQlzbyAhzFsAk5vm
sRSOHj6xqBfYl9+ywF/UcEXdmZkbt9gpvpthP6vDblGXnePmia1cVCm6tNNyWdjZWVdZMzOg1z1O
rk1ady5PuS2QjD+j1v9oZYY+rRIu3dBgH1UVWMA2ufALooXh1LUoyywWNUIfsr46Q220KJP4QxQF
M7tOv7ZIfbO4ki5OsPZ63Vw5Kqk9ZbdKSJRfWg5MrmUaZ01KzYWN/Gxe8z7x8oBdoBI/OGSgnq76
zwUltWhwMS/0QIWshtLru2aZ+ANymxxdtWn7LYS5ntm08N3cjkohSfGF5sUll3pmO3Ieh1QLh/gP
FWrnTJWZMNK2dDsmpZvE9XnXJ6Xb8zRx8956rFrrsi1JJzInvih9RdyoyBI3IWQRh/ovJy7Psyz/
iJPhEzb0LfCXisG0BG/5pery1AOGvWBoWo/j5NIpu07UA/qgOf2rr3hxHZhh6kad0Z0ZSW8sZdYq
L2+iiyYp78zaWIdF8sGxc8stMjNzhEl9vfQZjDKo0DrNmDlTfll7MTXSZZaR2xiRXMAtCbZbYj0I
Q7LEzSQs4t5JG5cE7DqWOgX2ZOr5YZqILuhuY7D3hG+hB2fAsfukXp7134YEf5BFr6IgfL6H99cf
/3UvM/j36UrX//zleI3vf/60WMsxYqe3Hxp/59dT/7kWdtRrv+6I3dKWP+4CfkWV/vbL1/XsS5Vp
QenA71Tsy9qcHxbwk+J6ovqpZDE0XxxPvCK4d8iC5scw4C8lCxddjNWe4Dc7UFs0HrB4VrImRMHw
WKuPxoIiuNIIVPNPJTueo4MBId3tQPchaB/1FiWL4Tc2dSyH7nHQCsOGLBqFFCrEW1/q2Gqgsijr
urvKW8pnTeuHhZA0hrWUsLa5tQ2rPwOplCcz0AHV10qazcfE1KBaNc/Lzy9mb4/KH5urbHMDt7FB
ZxY4VwTXJI8x3pfcmHlfJDysmytS5vgqSIbcFzWTduh2Dagq0bRm/ZU1hREJlTlV6ZaxSgLhD5qZ
LhxtyB95VaFrGCOsPZKm+ONgGQ5e9Lblr3Fv4G7+e44JVGbucAyV99CggFsMOmyONswLG8WMWAjY
9tUV7awg8OxuSD82kJWk84r10hJN3+HYi5jviIHZfST6BNFF1qgee6qR1WPYaY3dyCgsEHuRbESV
haDYmLKSYBbIOLxJan6WaR5qDyx5/kmH5XmStqCuI23Yl5EKm2zx+7fahQFur0VwfxpclgUXbjy9
9IuXYr0RtEaR6qu88vknGTiYCDMhsDSKvO5u2k7xu8LH6Zff/+y41l7ae3CcDO5QZRRuBwDLk9CR
rRc/a6EuMAsd5Fc5SKcrnIT1Va6VGzl++On3vwTbZ+eXOBT/MOgbAeaqs7XOitzsh1KF8sopkLkq
W6nShV85PRFJEc5QWaeDS1HvSDemVpv9t0WzbdjCW5Kx558J0hkM7+2fB7M3CoM8i65YmVirLK6t
VZKOPFhDBqpLSSl6UMfhok3LlogykWxdpVwvW96bF51NFXJpG8vEjVmefaSqINQLnb5fF0ZTeMgY
MuZaXJrq1KI2GL+/n72xXfvW9IFjCGIDLmmAu8ohT7MJFLJrK7cs37jEtZ+tIlXpQGAjqXJT0L7P
g7M2jJJvgcOLi24ow7ktzS5yCW7Y94oNg3T7MGCuKeNmHSnKHhurCNnZ75k0rR2QqUlhEY1nzuH4
msXAjX25nGzlREiFFb2MzbLwueNVPBwWXdVRPq+aGmyrrkS3TdZbtQjDkLkK5wtNVLFIzYK4SVpm
H4rUyjrB0jb43MaZXPa6qkRhlcVHWyeO55e579YyjiMRVTRuhR/r/KotDH1dGgOdBQHmsTAGP89c
0oTZqWVX6QcSBzdBn9NOpDUrryq/vK9IZlDPbghMZNQTkA1mPQwCtWCLpKHlfPVRbZ6FtoMvhqBr
uNui0Mzg/oo+WhqO6jPR9s7g4dYyvCHuHgpdVnc1Mlgo2qxic1+X9dL0CbkvQ9wmC58ZOBJDmPjf
IOeqGhHlpfFXnbHMKwpNlonMiyUuefoYNYUN+55myV3E/Y6JpjSDM+WDl9LDPCywSfh12WbdzGxV
Oce4w80shcuSA7dpA6d0GxL6s0xT5dUFvw59I0AexrI6BVVDWhe8CVs4FUu/dBkKz4nixZ1FK2tR
89ggc21nw8qxpZpp1MXDvEmcYG50HVoRnbbfNXhfljuQCtUiD0gTzDtwFmFztO2sD5ramSvph15a
0ew0h0cFtA5SEiY6a5iIdRwbLvNbJpi0ukGYVeq7tDLybKHsZBaYdY9uW4pNL9IKgZMBK6ma06rl
etFR1l3YyTCk/m3dllWWiT5K+1w9hn5IyPBVt0bHslBwBaJcPpA+iyuq4L7Xui7QVZVUWdKd8agc
Fg2vK3+ZqSgqRExSeYeYQZdxT2nt1oCBL/oScTAEw8xxvNz3QR9WadKWMztpA+SqtML+dVgim8nT
pGdtCKZyyqsLW1cUVlTrS6xbtwZdOAevLvavG9g6duCWTuHAgqOJzsB/iRR4kSUoL3/WNZHtGj7U
Q1ui91Fuwt3bfpa5Ia9bf96mLM1m2gerYG7lQTa4zmCBxMxJYtZuFiojFY3uA32jIyPLZjKInO9G
3bAIeUiSahGZTu1cWYYf+Gc5ZRWzYjfvdDn0pxralKtwVgQhy2a+boZyzpXOo3mf2ll/irTOCtci
fRq5rLP6dKGiMjJcgJV8NgrwVz0oAE4yD/6HjOs0RoaGKc/zz3GW8WxJFbiDsySs7A9DXVE6jw1J
8HnYhprlgoUkrBa+aor8DpQxPYuDgSTzugAOZrJKg2Hm4G7grhP3RXuZOT0sbQO2ivJ8jOszRS0r
9QKfBrXHwLYvRMQ02Cf5ENNhnSZwOsRzgIHMo30WlkuMIvM0iFhiuyRJSupFMoLoQw1epTBaVfCb
2G9j06VRGQ8iK+LBOEd+as5x4YNbxkLOihnuw0Euwwi3wSzhZtiK8TmBecTBxywDCh5PGxmDqLrI
+EtBk9veEBHsI3KFhzwaIuE0pkHv+7Ql9ZVd8F56OS+rS6vOQSUFmoG7InhGYbb8KMT51wGneXhW
9lnazXVrgWeOq6C6N2NirazOz3zhYFi88zrvGJ1pe4iA+RrHmZfSMtGu0/qzCEfl17RtwbKIg7i5
05bdfitUSE8b1gb+zEksRETu+DCOlcq4m+eqwVdDV1DzVlcWvseVAU+0tqEdt8I962YNyeLoVHWE
tMucBZpcRwbjn3JUjoszjku9YKkO9U3Xm5XjorIFbMI2B8akBqF7DhqMf6IOgtWdgZRUHpyB7+Sy
0twnN7Gqk+QDgfiLuezMuK0vq64ajc+w726sxLC7mWwz+Gkph6ERHcmqYYESNr78yHoL8gn4KjJ8
ZVo5vEVdWjBVYSKTweVJA1unSIMkus0Vgy2varAKAvgOZCqp8vC6xGavckGLEAHcrerqy8wICy0i
BH7+vIOToXTWNyUZhQZsJhfeCARIx/FoJ1d59smHS7jOnCaKHOGEFvi+XR/YqzanwEan4v4DrTqk
zwMwc+NziFAk8Z0D2mKhc4SvSh6UX6Gg2i5FaIYROZNOwOtzP5RB4/WKlS0YuD1dFASm1UWs7B+S
NLFuulojeVqivkk+t3YW6NPMN7Lv/cBHGRKVaeiBH+DQWUT6UM8hPsE/G2NYIGuLoBTMBDHXqzb8
EMlKn/MsiS3PIooEIPbgPljRhIR/UrHRBLOU5LBNBsOnfGnmEpfrDARyfwbXWsDeaEeJPYstA2a0
a4ZmBkqmLc8h3EZs1+dp1YCmpeA/Q6Qg/kvxht8bPZjpZ8MYZHusdN5rkWHMmmXUEhiqy3A4uGYb
2MGyAFha10i4PR9k01SXXc/Su7jRpXCYPjWzrrFOh9YGcBIE7vqiSBMpL3O7My+MCplyFpZ51pwH
fVuErmPpLLwHS0Q/Ip6DGAHRqRuRhLrV4NA3TglaoC/v0qDE0RcsB+pAKAwssP5jUVGDw2DaV7OQ
GUlwZvgFREoCZDRuyrSdLCOO8G2nDX9YqLrU0SwaalikEalietMl6WBdZXaRpqKE6Kh9aeLQ7Nwe
rBs9a8MCUGudPAqEGlgGskPrdIY72imvSYmjFoNTwupPzC5gXu/3SLt+oe3yc2v1+D4OFaw10HT8
E6z1TN/kPMcgYEnB47mThXYruvorcerWwSJJGvbRInnZeq0VVOal6adO86H0NVeg3GFFz4qIAprg
OPTdRUSrRF4wVYT0hnQotZd+Jzm8V9cZwWWijKL1Mu2DzABrrK4u09QH/hVPgrkOnST02g6hZV+a
sO9722aRMP2QXT5ZpX93jOQyelBSy+/VdpDkZYzkX/+fR1L2ZCzGApDXMxa/Lk59GYP5keoYCX9G
VOBGQDgIO7ZEBycV/g+ct18RFbh/iENOi0LbXij2H8+6/0xbOCfW2A8S2pqA2PuR0fgZUYFDedCe
CooXxlvnoDbJfktEBWIxW97ReMZgPOIHkV2wfaFJyqbfkQdO06SNI68RSoPTAoKzYWA4QtH2vGZN
77Y10RddTeSCooEueFff5LEJDmeefVMmkZ6GAGzah9aMU9W7QWtTEZth6dahOYjYaIkXVg5Eu0t7
8Iy2y27KgH8OrUG5jaLU7dBwDnrzQlkmhL05iEsjXJR98dl3AukOpXM5qL6aMZk0p3VanQVZXMKG
tc4GJ8pEYLJLm5gfA6uoITrt3PKWQXhWRbcVUis4JpeDeAo+NZlViBbcWDDcWOMmzXBp5+xz54N+
x5R+4an8bHfNOU/wRcvSe8PKLiunLVwQ5R9z5SNhYDDJ/facDeaHPI/nODC+kghSJGUwr1DJXK2K
i4LJL8Sxr2gIMefQ6hZNB6kdWBQrSH9okXdpKAxWzSJ7CAXuUojCqs4Gm7XsZ46T17OmaXrwyrJr
1XZgTwT0VIYkEl1bQwS5qUUwtHhhJdU8tssPXdLErpXg3DXIcEN9+4FUxX1S93OQR5mgQX7Tmfa8
D7NlBOpd+Ezf2DX7GJZ+MCvM/osdafAEW6vw4Khg4qZ5JOc06rWXE7ao1HALgWI2x2F61uF0HQ4Z
qIeKfLRDhUGdEd+1Jb+OG0auUp+ddk5wV16Z4dKu49EVPLf7OHahngoSU40UZgmiuxriWUWrBkS5
8yW07UDUZQ45AhktcJbnIsnkQ8Js6cVVHwtS4nnqgGBGwayv+tOob2KRZfE3pega7v1atxIFp0Fp
Xo1KrWvKAAIRTTaL+9T8RC3IkUFQhAjmR67My7PMspephcFSDOfKCZI5Bidi1ncdgfiz3S+cupBM
5FZdzdrGuI2K9pEPSatcC0Wxi1S5GEpTC1aVZ6ZRErc0i1NuyxAi+X4Mxh9zPDgsfUqMIF9I1a3A
vL2PkPQanc1QhdwAli6sI/5Z0oa6YVk1d6WJy1nEg26WsLqHhQB+PR5qPKvSIhbUSj/wBsJ0xKcC
gjDLnNsXfqMhh5ao2EuDGPYFS+uZExd4TktJBLRJQnMjpamLQE+e9yS/9Y3wgQateVv52QdHmUiM
IZlloeFdwqoFO2CoZ9qUqQjQcC0l7JQ4g0A+DYsbn1kXYYYgrYhiU9gxTGBu/1VV+EzL28g0C6GU
c+M4mb/sbHnV+Wkrmqo940Q+mjotRNnHK0gQFDOW6MQzOiPxigHWR2uVEKQrIR0VDsaC9m48/EUC
+tioizheatnOIln2bunDMmgyf9WPRirpy0t/SLDIqXHXFeZpjkMDvM3wkxEk66SGLUNyCWu7sOaa
l8vMyCD1ClEXUPbpPQQ/vvNGtm7QwbqjKVuYMg9mJsR8hFEMlWiCMr8wSGdd4jy7N6KsvOoacCbA
3Y9njA++1w2N4da+L91AIQnGeHPZqMQR4I3FIuXRXahgNVtmgJcqjcOZ6QPi4GJAoK4fbqVf2AIP
FAudNYNb9MYHWqraQ/BLIhxKXxiNDSGGJPHnTV/Fniwr8zQEvBozPEvAIxc1LW8zk56nUt8hH937
ViQ9TJozH04XzugwdJHQUqn4uuiw+pJwS7czW+d27Oo6Pq/rJh7cqqEZmUetn3tlHOmvDg9C8+Ig
lsP/oE0A+vF1m+DfGVw7rPYYBED10iCArijEgr7QxIHG3i8MAihxANVuj92iKSYQyPyPPQCNjhBU
OI1tJyEgC1r8pz0AXVYwnCeD6DCocWhYyN5kDzylAF6GtaHpEpwbh9A2yHy4/3I8jfQyDikLa0is
3tfXKKX3Cawzoq3zzNS3SQciqR2XYoAgTIfN07jvYy8bl6s/Ltyqq32BygLcoL6tPXDcPyBzGNyw
YFi0ZmULPWDQy+PO5zBWzmQ4S0F0LXmgCCT50zs1bqQhl47Asrs0SthkWR4XbjtuPKOzfA/CL/Es
bYghVNWWVwh2KnQasi5ZM+QXMSGVkDYpReDrYEbGPa55ACED2PZ2GAZiUPl9mDvUS0fZgJReliAs
fKcKZjoB756Z2RpiwJ8gfmaIlFinEkQNFCdg4Zf6chil0GAF38Awi6EioO5dBaIqV8sYX+BRfIUr
Rd2KB6dS+oHXNjXEw0d5x/ok9fK0Szwy6GJWgFhsB1mIrlKPNQhMXBWt4AheSDX+UoNQ7Q1WiD6f
GcNFDfK2M52/LJC/chTEvLeQx0E2q0DdRKOwNhsHMmEdvob0+SjI6xl2EEBCmRZVEOglGwU/RMU+
kFEVcNAJHegGnTvgFI/q4v+ydybNkdvKFv5FvAGCE7jlUJOk0thqSRuG1C0R4ASSAEiCv/4dqm/b
bftdR3jv8MYdUkmlqmIi8+R3DoXL3R3djhAVTThMwtHkfSF13mxHTVHPbjISdklxClkj/CQYeVax
Dk2Iwmm/HVmDBxmfKWtxCEFfDTFU5+V2yJWaeGmBc690ZJVI0e8HUp1UHT348frqbsdla+tEE51X
E48zubEDPXS1pMcJO5OJpiHOXGToK7x/wz722iqtC7cjN72vu3tWoP1io0p68AyrP34TAG2OdHJu
8AF/jaUA6lGV3YnX7tM4TFcjdMHMYT4WXbP3jt7qfYqs3Sm94LxSrDhAqntrcYkmEk8lrUVYo1qa
+4CW6qJl5DRV1XO/xhfr4K5pIPlezs7lYG2fKIJ2R5eFm8i6mJNRqbOuVlw+0wMvi7eBR+zQeRBH
K6e9L1aPQ3gxXwcvOtaDLg8skCdhcRJLG7Y7prpjWAZfRk74adJdmNTVeo+fOV8OUzBBK5Ey1yV4
iU9dbBohcLqAUnbeggOVhEWYuYX/VckKrfYKFEKprjspCoRicaIo4RYUQqMana6Lkk8lKcpDx/l4
U4VBnMzekC2ddXfMtI/gHKqk1BxSRIXji0qBN6jv8qKp0DuIWuBq1/SoxNYNVSHPRmqOZGXkODB+
jNyi2Yd4LskQejZBWdQJwzitKr0mcugOvh4OlRNmlcQxXFW6grbkuLjSfJ1CNlsS6/Moi0uVad+F
8In/cfzgpirjRKrpi7tUF8FoTtKz59gf76cIrfKq2j13CmBFbbEmXe2ep8V8ERtrhWnlpvXNbV3O
j6xerlS7PqkC6kyNtW3SyuoRq42Tv5CDVepBs5Akg+lIQqT0krhZLms15BEZ5a61aOvpuFwVo3db
d7bJl9nNI9qfqDFdYpX58IPiRZTuNfZHZ6y7boYqGlI2qbeiCMBc1OtTw5WHXoixHNrei2ojzPzo
BBNN+wfJ/YvF6WU+NfjUYL9p60fPVMFB+GGHaWw79rmEMr81Av8e4QTUAMbqvz3CG+Ae31//fIb/
eNhvZzjSGLa8UQalHuRghJP6t6Eet1KKQDwQz/vzIY7QYVh8kdrh+9vcvp3vPw9x5FoGIBBxAz3Y
Bv2Y0n9yiEPF+/NQH4HDCBGEGWGTgDuL/GmoZ0s5xIZxc10J3Z9YE/tXY7dcsK4Z0sCMj2HbovfT
9aGTUbO+c6kG59agdNthFSm2Bs1tzPsu0bW91aV/kqqVu6HBuOiuFuv+2nX2opn8xO/5rqwnfsRO
CRNOj2scql/J03gaul0LxM3c27J/jrmViYODGuPTgmmqp2DupsVZT0HfLbxILbPiZJo6s7RwDtoZ
P8q4W0EakGJvXYmdp1vHx8aU02MPzvuCoipfMfBTe1fc9wbDSs5aS3a9y0Q2jQ7JoinuMukB0Goa
gckgRCMwuvFFHY06H0o3DTTVu2DpzyzgUzJ5Mt5NzbokTqGxKeDdfBhndXaVilPdDc/jXF5ad845
sRlV9Ir45cW8alynFbQHAYUzqRiDXqJMDpaPogdxMJ8BSfsoZhm+2LWait0QDBw4moMtFFfuIR7N
Ha+9e1aRzgB3446+FaD8DlhWpt3Aw8MQWNXdh5oAIuSmiKbEiwp/77kzhuGgCD7qwsxHnBpmbzA6
ZGvb3dhKnUO/P3UNPw+EXjDt7KSaT04bZnKFgjh0CcEkEIj++9zRO6Hj53+LB4pHAPb874tHL7r3
P9eOH4/6WTuQvoT0Bw8O8C0/DzXil9oBrTACdxUEP0AqFKrfB4AYKysPiUABXAyfiPPP2sFwdyjc
HSjCfcxj5N5CYfzJmN38aOz/jmNGxsifawejFDCNh+08nqe7qZK/DgDlGM1V5bHm2nGH51JobEpM
8+ba4NhAowG6ukLrMnkUtAmZot3qlZexHc4za7FdmluM3QLsoimddIwM3ZUB2RHp3c9iojmLpEmn
0l4SXWShgwZYuPpRMNqnjdtcAvht0skZD02tXttwgTzk+t8LKlTaO22ZlsFysbDpe21cnKE1LkRU
4Ty0U5C4tltzYpwmG9tgySDK6zQysUl9S8JUy87uOmlvqA2CjJbNhVkCL4Es/+QBsciwLfkuSXgC
fdNnw9L1STmpOmlLLwk4iJQuim/W2P06gTnGVS5qIBjOnDSRxj/DSqRr2VNIU2UBtenolXpnI1mA
PUXFpPPyuPLySkfdRV/0Fxx/Exo8MSYtpXezqLMJylBed/SqcOlDYRuNOmRatNEe+Co1AeGoocj6
vndoPSvSgvVfWTA6aUhsaco0mAZR3mta9S9YEj7a1Z8vNFPXvafVvnFnkADD+LKU2AR19b7t5zDx
TQBFbkZNNl5BE16wK17SR29AJ2LEfO0gmzUH0LtmNFjLfI2xhCvH2Nk70tx5Dv8eNIXcYyGZulgz
XsjwVS+v2MXu/D58VdaTezOSfWMwhI393MrH2OXdfUOavn4X5fp9Xvjd6qHhjz41t3rkjL2ObnUu
8Pk+Et2Rw6KpvKZjEV/7baFONi5SP0ZlnaPwoEfIQoQTkXI/tmevWrH/EGBU90A5vs7dnEWi5Vfe
It+x3qEHIst4ABHN+Jr8W+c+65wHdPB/6xwwGSMKa+xex+9I7/9rvdse/Vu925DSzWCBZtQLsOb4
vd652GXAP705Mf1o2/j+Xu8CfAWtEkAoZPT/0bfh/YeBXdwKXoiQBeQE/6N6R7de6FfBY7vXuBeg
9YDgQsDy/alXipfA6XHbRH52ABlkwdTqnK0W/PlkhxesKEAr6UGPYxJiJI9SYJ6ofMU8qOqLreoq
j9dwIudupH7WDX25kCSMyHS7zEzaV1zrLiblcoEKQJOlmSqKIRMmFm/JwLoVWGVE7rAegUqOpdrr
3mn4PdMoumOgN1XZiUiYrOVaPbSymb74Gkx92qD03XOXYSNIq4rv+r7JVxAf6mA59q9NYKLHzp0c
k9hKo2FqYwY9N+hXm/odeIjUQQeQ1l7Pbrx66p+9dqienaAPDriBJEqaOzXFdUTckiUNq8TVqgYG
VKZYUYOZCIs0lvTYlaRNW68yVwC32nMUdtNdS0OegzygfiqAlByMUwSpaQb2Qrt2ATigY7km02hC
YGpMBFFauU1057hMrumqW3Foxmj91lLgZbz00fmklgzBSIHdB1VfgDM3tTyyydP7YMQbojIw6tOz
FqPr5vVUTLlfuYZ3eRXzYg3zlWJ3Dh1lhjYaH+KS4dtsP5b7iOj1Vo1T9eLFnbqNIxXtqgb4JSZi
nz9gnX+OPdXPN9LBq3nTOeUESwvggDYtC2mGI6fACa+ZoNVz3Sj6sMQG3WkSmhoqWUdEcyBepyOY
EPqiOg7uWC2nNhL+/B7OrHzHWR7twfQUu0ZwCetPTHmCVZpNWmeMspoJ9cQ9tx+B5jlxGmIw/rdy
/ejQ0LD878oFfEr/fw0aHvSzYG1GMwxioJ7JZhoOfylYW0jTpovG+M8Daoze6b8N2nb7c7gTgW/+
UGFD9G4/GzRkJaOOYSILAjjE4GH7JwULy+E/FSyUxO3ONAzPDpMkmNw/NmhTvyhwbNy7VotPoN1M
x9n6Q+ZWnoczbthJD16UEaaU6NOdUvrfRo9d6s23EmyoSrVgftAjv9DYnyUdbC5ORcaErb3JFlhg
ljFUmb+5YqQ0bzbunjnsMuCn7mq/2new0VCP3g09JNxqsCaJMcxhsqKXXQsSrIQNR21+nCZuNSCS
4ssKq04AQg5y2rqk4dJeB7DzuHOYx4M8RbD51MHqHdepGFOUDpZOMAOhzOZ0Mwf1/M7MZXDqsJmG
zeONwUYUw060YCRNaordigcaLQn9tss2bw08eCaNYEiaYUyqN4cSr/mBbp6lXsFg1XIPPibIaTDM
eOe6HU7N5nWax/FjmLibLJsPaoUhSrRwRs3lcF0FU39aWg3yQ0DUjVpZA26BpyomZXFWnz6r2Kxh
MvjrB9tcWJMffVsFXty+aPktBVeScJi2OIa4q0o2xyB2oPFszi6+ebyUWFos8ma8a1iaJ2Opy7Ru
lxmsWccTKG7hXkxohsMRWI6/wPRFSs/dr31VJkMpGmjkHjZa8ywT0XplTmxTHTxvaXJHiM0PtPHh
K2jncMF6HSoWoKbCzdzFokfzldj5pC92/uw1+dhqutfSa/POqy4xiF6surquO/eobblmomUfxQoE
topaP3eU8DJrbJW7RWT3tSmbnFSc4YVwLSbfId7rCru2ahnNPqZggtpyBPANmu4OfRzbmz7gOe6l
Vx0IKYoMIAJMZ57n3DYI14KdD3/psIRhIoAv7Fjp6LSyM0tgrOtzB4weoJtanAIoovuS8gdL1Y0x
pMu5wyxMWP2bbBSIMx6CCx1i/9TH6G9Ld/M1rNtLJGj3Mqug+tIBSEwUj7uDNTBx0KWUSVN07nXA
sDTg/VoAzInwGo+OObAZ3Saffew4IiO+162IME1HRT6VrXMgutqZoMlhJYSICjQpaeNuTICwtgk0
Z5M41cyysW+bNJyq8HZ14XNazF04t3WuaOWKtKHNGUizPoB6+9Dd+qbdie907xosGZvxSoBgSr0l
zJpxCI+hnYvL0ImmPSs6/w5+00cRS+1kRJsFNAddXDcRpv8241lFqwMbIK+aRDE+7B1hH1xndncL
L8OUTPGpwxGez7N1k3gy0FtwIPWA4EHwljAkds7J8clBeN6XCeptCqXnAb3DKaq6mzlSqeNEVyp4
KSJ6YWQ4PWHr8T6H+nLxHSfp0OBnMFTOlwYL00Mc6yoRI2apsiaXFL+N9/ximvyPAY0Y1uDNFZmJ
m0xx9LgywPqiWhnmofY7jJkYNdv2KCt7C3vTpQkE6HI+eVnXMrmvhQuiceJBtli5JJOA2D3i2zuF
OTNSXrCzFm+hO7TXxinvm6V4IdI89z7KAyP9lEX1eCFm93WpwxB7IQ9wuJLlzjUu1CYPDgeYVKdK
YV20ArRo1HSl2PzVhNjKRI5/Ey8RS2QbdUcWBPhOTbC5rWFz67W8MBU5AAzr0skvdhWRw7WItU0q
wL+Js8SZXsZ3VYR1EkwCTjgaPkPgaYNcdstVR/U36UfHzgRP4MGCo2jdpBrXN1DsYLXlcsAf3ew4
BV/eumvWhNGZV6gysXQgU89pHTsymaR7cIbwYOchq6gAkyDmW1ifLxuqsKgRzZtm8SHqvLNb9nvH
H/YlGG28p+nSuPh38MqZEKkS5kOJ6AamD51P0h516/PcROgu/foWXK2DswDmYM9ecN3ctrGTuYI/
NDAK8bA7RKbpMtOKh0boFFDjCP+vipLWrocCvgHRpIyoBb4tmkJEeS9MZxOcY47dK0YVw9qrbtIy
7O6IGMf8397oR2/0t1MdDBhGvf51miO/THNbolkcEPhz4XtD0UIH9IvyjYUxYbjZceB/atg/myO4
8DG340tYLQdsC779vTmCCx9aEyRzcJw/Br1/oF7Rzer/h2kOzRFxmY9UbDwF9nlnkV/Vq2UuSsDN
hX9dr31kj2soW+9t4p4urgHOem2LZsehB1Zsn1PD761f+kkNsRTQkyEwKIcigY+pzk2s/UwFLTmQ
uUbdWjx0J5N8de1apig4r+uglqz1YHQbVXjRtCW45aK6qQbQomWh875VfjIxEKvMrqiZMboqCFcF
TB3w9s9OO+V81E3GQ31huj5O3Eh8ndzwVnjdPmzaMZULLLfrXgwYByfSEuz/5O2KpZUM5RH4TpCI
RgLG1w56ETC0qKbra1yNt2E4kINBJce2it5Qopsr469yB0y9y2jRSDhEhg+vKF9NBZ2sdaJc23cg
Z0EGl0w+OV6ZNW13tVD/a9+V2GuChTv4Cr6g0QMVV/cuTzwJUWpl8Zi603LhraLK6bi+G1bsjJwu
3HjeuxGE9F7ulafyEUYWnG4TTpK+TsfJe9e4tOsZyzl4ztGpXna49NcA9hZTFtC6I51OKA9sqxNN
0x9aFI5FVg8NConW3W0/kguOAgMuFnR10N5OeEvNVoPIIsZurzFV7ljYn9ygfevUZmeOikuccZfw
OnSpj/M9PEGgHW/dBf3PSzU2Jc2VJ8vu1lm17feti5pTkpo8QbuPZRJO9TcaeDgsxxkAsvkWK76L
aFymM8OXhZnf0fmotFJLnLTTctCWn/2uYDm4R7sbNP+YHRS6itnnkMQPel1u3cl9gSPuROT6LKYK
k16gvDwq/e+CLqeZlPal4UOdYI8DD5oHnHGC/ykgWJgG4y1A8EM0MucSzqwHK/BnYeEC+qFk18Wi
sMnhKxaQQWa4xoFSh4huCC05rNGHW0kftgb9OGkw7W3v06yBx6IuY28fOAKWKZjPejeAnDqNqSP5
t7Ie1rQxdt2xGUhGZcs9ddSzQKiFxGWTdqxbEnhM0C+oFXtpiKgu+O1l9gts5x0kRDhPoyansPdc
nDvVl6DgJRwqNAKXgK0wLG8gsg9NVEfY98tTB3Yp4fDPmIEFCQ/rD8X1Nezmr5NCw9NgI13b6ow9
/UXvYYEDGPGig9knoZ43pRXWuSNHdgQEkHk/LAC5NebphMbI/63Z8xrJvG2CI1Hlswcl5H51QsCZ
HEIJsI8vkcPvF0AmJJ6fBu6LY8/j47oMF0XJ+otCqqcQvRXsofdOGB65x66dWN1yEr73/npu2/FQ
S3w219CuWe92JoNX7m6a0JvAXlAasR8rHuf1EiNJYVrCFzUpKAqVuSvYxGFva3bo/y9Crep/j7Yf
zHXwt2P/j8ylvx5t26N+zv1QI5HDgo2BhyiwGLd//f1o23Y2kYc0V3STuDK3U+/nYib8D4ZwHDqb
NR73UtkkgZ9zf/CfzfC+3cUu8j0kw/yjxQzA2D8dbfjFG++N5wDRkMUk+OPcXxYDgetCmvMKXjZZ
hHkZ7cwxA0FlIlMDW0vzNXABu1pZwGjN5ixwZ5WO3XTTKnmMYnRkChALOvsB1LbAJqK6stE6A2AV
9zDMf5/IVONa38yGztymxUyv5IplTkFgv2tVf90t5Ou8hi/Y3j7FQ2nhzIn9XdGg34ydddegzc+H
mXM0myC+S2dMRF89Bqx76a38MsGIg7FM9WkRho/joI/d0n3VsfO16NAkhtG154mrqeaXWooXJVkL
WSy6gU/tWwPpLm/xhyXw0oV7SpFM4spnbHwtFD8PGIm2dTo084HF8xdL+zEv9bzz/VXj1PHm1J8x
J2ON8n3gU5CxJrxUunmYu7VOWRnkQc3upIi/Dyq+EcFiwR7bMiEbYVvMM4zX0xNCZb4VWj4XA71W
svsGZSaGXjGWucEwe1BRe1P28UFwlfhV+dJQPeV9w/psDusmmXv5bXbjq9qxOmthEUp66q2Z9dt4
JwaU2NiNLnG5nwa/uOzKJltFP+6snHdknE9lHB9KGtzZdfoQfvUeteODh6Sfwluf2nJtMxLhSeJN
iskYJPMcxSkl4OTpMoS34aSueLx8NDjDssIhewl0NDVjBYMQoV/9MrjztS0yrLUe/JJ+oBmfjlZs
Dw+M2UFyfWox9ioJRz3U+B08oZhMjK72Ydg8S7+qd7Q3Z8oDkogah/Dg6iAhvpOEa70jEXQiREfs
cfxJjHr9lMBRanMIDXNKEapj/G2kWtkOOLraF6q/EAVUmRXnfTZWOBmCeb2LmmA/d8HODP6Q+ivy
CeA9GxOiFxfClQIMbfCJC6LZgbsTH2Kr8B62tIeRalzvZYkz03RsVxbTDt7k+5V5JzHXXhLRpksU
gPisBImYTKb+puXyBMuQTqKwfyOuxGAiCxgBQNnNRBzCAZs36fAD6Zwqc6K6SwmRexyrexgkTaqI
Ex80n23iTewdZoVLtiAnoVdVj2AjDaLLgh8wyC0q2+WLHIJTQUdQu/BZJqGn35SJEcgzuljSrf16
0y4hvfC7usuwsIzLY0Nj7mV1PX+lrB6nfHQUF494GQp9TXVUAvcVaFHCoiXdA2YsLTNf98ikiUeY
CVPsDKIbp+AivLGD4DfesJTPEAdy1eAjlPjcL849NJNKhwbOxyUhQXngUVzew7DrpGUcLLdAI09F
OQgvh5fCCxLDmjVbWKiGo4lIAR1MLBq9B/FgHcUyMMUK8lbKcBn2pPLoUz0TIq4QQGRQZxruZksY
fSOlMaD6Qju262YBjte8gMsDdLygUflAYLlWz7SYyiLjHtKFsoG0YfFSB4L7V4SOLXBNeFP69N9J
8Md+D8jQ/1bJt/3ef2/08Nczc0u6+Hlmwt2EwuTC2ITUXAxd+NJv4+CWyBcG2OthleHj8Pr9zASx
gCdBcaK6BA3zpnD/PDMBQjEwB58/DFBD8I+k8s/QhF93exg2oRSGEF428xUI6T8emdDQAcfCiHpt
gda7fUIBDvCk61gFlwrvroWPSBIe8XMYjHvsi4LbwdYx9m3kziv8u3o075IAaF4Wfqym6YJH7m7y
zCVillJnWk9N516yzkXc1Tat+Mub7b1L0tgm8Ux7pj7bFUiKUhz4jXVuw4p/iWz3NVh0Cmj1nfnw
WbnYsdnuWBuZcceByMu9I1THR5ztEFLILSS0s7FgmmJyxvWmMT7Cyc9W7L/cdBbll2AQiYO/KG/G
+S0W+qqI6x0CtF68stlPWp+6ItxpL76Y/OFccH6O5bKLV4Su8f5sKGwmckAkFP0a+cGBu+45Bgfm
AKWtsI+XjptPJs4GtWYIenmOhbpBWs1VOdt0kmwPETT3mvA80h527g81xjRv4TZOuTGworLXLa5A
hP7XqpqOjoqzKVB3vFz3TgV0vF+TsB/vrYJXtVjEdRlEBwT5YJURfoGp9LBadYfgnLeOLmeHdWde
DJdTiFyK1Zza0R7gB0WX0X9EVX/GejdfixjwhX8XcbDTzOkPYC66xG/mq9pEMJnb4WIo6ldP+ndx
H6Yc0NYWagEVUF+WtM1WMBLj2iH5zbmr4gWO9+LRb+0XDEV52G0hcFygLC0+iAkypFE7XAnWzLtw
HpbbxiKLT4rwFeDZuO+HZc/6AIF7S/+V0h7pdPPy1gWfFNpYkiFXNp5R5BQbq0MVd/yoP40bIOZh
4qg+8U4gvWIXuzPe/UUdA0fi7Ebay7ZTvKuhb586rARSNdQQMxvXu1qCdcomCza9WYRMYni4M7QI
1R116b6mRCUBKOOqQ9YZlBrwpgIAc0ch72JEQTHugWxrRqrURLN/QGICUn5Cey98O2xxJEtSIK1g
hyiCPkUOE+zspfrCMNPldQj3UtXQW8Fsj0iPjxnDHVpC+uAg0EyCt2fWv15psPNHhNSpes7qedpm
8Hex+les0l+dGY+7Gg26JnyvSYceyXuIfchFK2+pbB9no0XWTwpGNsQvpiv366zq/bcS3lqQ/BjV
ESNiMoV8RTFOZRIt1ffYMdB/fdOm08SHDMuld/RoL52lX4IgfMfzB74n4fq11oMZr0fPx1uvz4Ku
whxbFyKZevfQN2PmMXGNSJQTa+dHf7EfOOlOVcxOvuRitzgmR/7Yo1hpHrfNcLbgA3btBLsfNU54
JZvivuuxSSjjWuV0E6qN72FP7HZPc7XiVR7a745kMiELctYixO3sqno5Fk6zr0gs0nidnpHFCFxb
L9eCRG98Wt4WH6LvuADlRFYToiDR10a8OZQYttG+0h3rsfcZPLovJH3SA7YUKFPpoCAblwY5E6F4
sqWHH+7430QxIIUirhKEe7w5ZswUDW26FCSDbeqrVw4ToueA30MjS31gP55xaOrrEZz12D/w2UML
CjtIvoR435eiePK2maDoiwifL2831M6QxPGMS1TUFntFXJbjzBSenveBJhROyQIwtwkwMNRixt5k
OAqxhnhu06kHy7S06PYsSCzWeseZkzMH19ARctIzW5PGieNEOICCDAGdzcn9XOqLoOMPSFog2KCF
sIRWE/YvM2JrFudSGAYXma3B1vtQ0do+yppPVpXzutsB+wTB6kjArNOGtTqwJRx9LXZ8Q147wpw9
2TBYJD6KpNvQWPhjYWiwt9D8gKdv+CyyscS/vch/7dKYZP93LwJvpv6M+1f6/9Om8djfmhF0HJ7v
emgo3C0g9pcBfruhmo9RHOPz5pHatvM/B3j2H8z8FBt6YI8k+IM2Hf0Hm/YgAEr9w3YV/5NuBJlZ
fxrgwQBs5qpte49n8GkF/1WbjttojTs4N66bSSBmKB0HSU7N4vqnDjvyKq3CFkhRibUSPqIM101W
BS2kYnx8eedAnNbVw4IPds2W+wkfdFug0vc8xIWzXQUILkFCj36cW3uOcJkEIoTNsZDJsMGAywLl
zYTpsl1aK3yaLdp8qOUxfMHxsocV+8NjpU7nTzh4u0oRV0DzcbtyV+bvTFUxFOxt0lf82W7XuWp8
m2N5hWsfRcAPYTFBNCSFJxkFokfypZ114m+1Y0QRaWI301tVGZXKAjG/AZVJqq3uBG70DbYIkU4o
SSHSQEBQhUcPaaBmq1rIvHkKS3/Pon6FJuHt+FbhPPQHGFSDDG3IQW1V0G71EIvyN8gEby0KJdkq
JtzSz2Kroa1f72sUVWx0u5271dlxwjaMlf33kvjYFaIY9zJAP7TVZ8y372FB1zMu61fRB8UFNH+E
bgW0TbArzdFxuXcUQEHmI7IpFVu4h4Tuu5/n+sINhgm2SsBjWMqNeofosHT1IwFDaCR3jfVI2iDB
KWcc7s4yXoFh0k5dWcKWrIbeumNwSWVF49hU49OcjKrm2OUjVsoSUeQdUeICzuJmD7FD39NgWh/h
kOOZJIhiqTHKXcE/BDR3rutnOcLLgg1o+AQfcnunRne44SEVR+aOy+UQF3DH2kaeEJWCau74fnVZ
zF2/JQUtl2ZcG+TjtqR4W5hwGKItnOHYUXJby9jNOZ/7L8Tihd8XjIYvThWXHz6DI7ndAPhZW5PX
YOJtC0seBmBEpG7AvBqRwQOCXkMcXUDUDyDrFQh7sqH2zmDO4wbfFxuGD5IOJpkNzY82SN8Hre9v
2P7QEqTJbSA/iH5ETJVJvUH+3Yb7hxv4v/q1m8nNDBBttgD56RCAzBV5n5YBmAfkZiMAszA9xgiq
OoZYjiV8sxug0wTiDAfCslkRkGOE4RbmhH8Hy8/B0v1bQB5bJ0AX3/Vfp8rtcb8Vcg9Ro8jzxlow
3IRYFNLfpkqkkAK0AklKUOo/B86fBNbmycHqkYDbQhUHzfnbVAk4C7dbQ/jf9lMJvucfFfJNZ/11
qETUp4f7ejHE9OFTjIL+x6FSGyzOkcA23xhyKlG17Z1U+19OuJsfP+zXNHHcYegPvwR/BSUYnXE/
CuQYhD/uWvDrWeE6o1dVtepvvDmu0Lj7gQLlxD3aeTecwMaYDVBU6tsVEwc7b4GAT2MZ0foWNxW2
KcfcS3FJ96lCItTAkTdTNMgeFui/XIukXw8db3NTIH/v/9g7s93IsXNLv0q/AA3Owy2DwZikUGge
boiUUklycx43yafvj6qTPpkunzLc3TcN+MKAgVIqQkEG9z+s9a28UuAEeigCqvterUEoJNp2aZy7
Ke32mFp43BXgrNJeCyyzOcKluVHc7D2fs28Kmp2hrg9oF15AM1CTp8lN3HdbV88PTgJNSJvaH+3g
wA9KZZA3psMyk9peKbTch2e0b0Z2gYMjHvFFNkbHpr98iW31AEeI57BWH9Hif+bQRGkPTb+ei8+o
xhPsFjU+X3VCadS1ISuvq6inbXRLHrit1HGPOur71JVHw1SKQDPLh1GLmbPpj+2U5L6e9s9ZMXeb
ZJYfnW0eZ7Mtw0bU12UyAURuHIMDCuVqVLX3bYp6xzFxwsazcV3EZbvpO+M2l6z9lnF4UYTBgxbA
kqU7KHz0/gcGP8QLqV7BPKkuZWWeHNmaEDdo1POsEXsbdKgP+ijeTGKAX16jCdZGN8NNtTxrcBsN
LqdfDcqdJZWSMSaD6sJbKfLZq9K0JpaC+oBQV5zzXmqAr7Mj43zszFpj+pobX8X9hyGq0OO4TwtJ
oT41Hdjs8jla0MNFjYsxKtaOrUuh34/ObnGsjzpFcCbn9jQ45ocL0SlA+fuDceG4iU1gjU3vPcSN
/cNMJSyy9DNtLLnROrFPdATOGod1FReXUe/eNSGg/Jk9Z3RWHvIUvp059mHqAgIcDI5Cs+vl1lRU
b2OVw2XwlMeRhmSj5D2btKTdamZyH099E1QOxPoyMra5icZjjB1Uzlw/zxX3Ojs+fGfofLzxOVMX
RGKz/UMI783SshXNQNdhwNnHzZVk12WRt5tYpPWG58pjDIyqNK0aR7BxE+dA6JMKEJ02TW+jAD1d
ywamhuTzcJzlNbOjBxTecChE+WkiWwzHVn3M4vyxS6E9TMpqOIv768JRfvSK+4r2DFRGlmwcQ+vw
0H7NMh2ECDrokzk71Dp3/1aabRPtaz4ND2NJ82DFcvGR/XCXg/h+zEDOHqxlEhfbkA9No++Vpf6k
uzikWZ0DTKm/A0prGFIjzRx6Nw0ziYygTcWzafYIf6J809lPpbeddnMyi6ti9dooyl07CA/8psgb
ZvgFO/kRUoviTFXQenW16XLL8hfu39iod1NlXKMyIEagxfmBvKvmu7lyQc5d5bwkrvWZqqCVedw1
DKu1sMhrtJvzCXfkN2UaTrJPga4Mr/Fg0pktxl1balv8/neVRhOnKXfIsHABxU96Zr92rsV5rZ48
Ga++7cuMgWPpeqYNGbyz+fswwmlMHBFkXZ9tURdtMiYQTtfiGHatsK3Hs8NOt21YtiD2DpLUYrHl
4ekW0IciRbmZ+/apSL1sG+ndZ4eZWW+mZ6X7tAbuxNF2QsNE1riJWCIXvhdJtulimNloqePsPDnx
OO2aBtC6iCHGWG7d1+fMMF6KyoRGsuAIHpHEb3LBc8vPKrNmAYGuddfPVbtxcwRnrlE8ZU0XQi54
kTJ/wnT5qhatcasO1nLhwGvCNm++Nbp2SFrj+xS5N0Amz/Du41XYllLLQoxkW+TSkuZpWCyF9wB9
fb6Oi+Q+jeN3wd5tI7MhP7XL7CBB6RF0lSqy/z55LXWuokwe0rQSgWcox2HsXtiiLfeuYhRhpNAQ
1Lw/BHOcPUD+eAZgqLKDbqiXGwWI04MtjDmYGVxt4zW1gm959xx53cCOwWEsVw5u0OR9YNrjuB+1
Xu7YbcA3LaqZ7Y2abMYcnUvcZylf9tTaS3qCfZeNAAn7O2T3m8bWdmI0R79SImz8jEgWW3uoreql
1ab7GMn/wTOHlwpMPI3FEp3/+thlWv3Lyf516LqeiWfaZo/rQOD6/WS386Em2bUZLpXLHkW7Ee6D
zbu2aHqE+fzXr/V7FbG+loaPD2cMUiqHGToaq18P+K6rcDjJTl7ciJHiUzOHifL0f/cS61v4hVCN
jCnP5ZDLS80XE/OKn4xvZn3/f/AiLKax79jUWGvV9euLdAk9lSilvBjtQ1NdTQou98Nfv8SfLwsf
1S8v8Q+C934A3qiZk7yY7n3RhAsOHaqQ0vkm5n/xSizr/+EG+P2V1nfyyyeWsxsubJhIl2ZefK1k
RKwfh+JajtuxYCP5X+4xsHdk5fyTMm994/9dSf5xDwD2xvmN6gBl3Pp2fnk5vDzT0vaaREP5ovVY
YuyHODnNxcvX5/f/GuP3/yGMhw/0fx4cBZ/5/zrTXn/+udlQ+Ye/NBsMGDwVbOcfdv7fmg2i2HW+
oT+dtT+nRmvkgapyBb+CX1V9Nbz91wrL1P4GdJUQIJwjBhOnf8/L//tjgr0VtT9qFGgDyE7MP/qE
X2+RaBBdvpQ6deS0V7P0yomzjTHO218+mX9yJ/IY+/O9yJpOxemG9UiHeP37vQjnOmPtlMkLg/Hs
0INVNbdfe5YUl1mlxxmMXwcJb1/dePNw1WT1o6O3UGC7ftpIaNHbrNWy09haXkC/DvJ97llMWXQU
kWxfZFfXm8JNEPatLo2ky+8J8XE3ep1fKjVFBuWUnJCN3gQudNSNgcEAB4B7agoSX/CnbNhaLAHJ
SzgbmNFG9hjqptUHA+VT0JGiUzvms+I61xwQns+f+ZKYebUZJ+seAtidUrBCUqxzn6ojdDpUz6Qk
HOCmnmVUxMwrtEekXTmSj3EM9FU4Noz9LfjVUJrDs+cSuRM7b3Exv7YrB499EqrEOb1YbXSynSIN
sSvubS9qd13ScoXa9rGy433qmvEmT5ITrqD3UiZZOBZqHdgjPt68mkgzGlarASSyUOuXN60o1kmR
uDFdhkBzDli5NoLGzt4GR3tsu/i6morBr7T5zmmGHZPLPeg7BT8LTGxpkuTEMgTHi27dK3Odb4q+
cTeO9+b1IOiwHA4NE7FuMDOfWztw6b+5fmIHfO6HO+NVVm3rWhkHZHEldho6zI3mzGedfd40o2aV
iUahqeUXOLgiNAy5WwrzOo6j2O81c+ehH6LyztDR2dYY1A2bFhwrGI/uqnKZA2PpnlKblVMME9U3
+vy+k8NBs7IxaA31g70pGxI5P+VpakEsX270CehNlzC5b5f2u5br33WZIxqdtH2VeweoWBoKUrnD
d3RbALgnK8e+cgw2eHZefiyifkkcRA+FXT2g3RSB2TjZXg7GDrPNRsd7h60AOiu3GEsLUyZbbUqa
bwQWxW24uEo/byx7IvBInbKUcb+ORXMP4bcM0EqEmitXD0E7HfPcggIzaxs1AvxmGt+l6h1Si1Xx
AgeQDI16fMosY3U6SE1dfCtdJZmTlgaZ0A8GIDsCvc79Sjl0m28okO+0TPmkUsn8BlUhG6bV2zIy
++16qD8yqGSmHZTCwqUjxyu3RdC7Fm9Wihhl7MZ05WTIV1s43XaK6+s4Ja6rqydUzysOubuqBabz
vttL2b9A+4dR54nNKFSo0dV1ZvOVNcrskuvWKVeUw5JjSkriJNku04x9bEy/2xJXrJDCAICr3cEn
p1foPzO0yZtpwOlh1y+y3YLmOiRmC6ha2c+2820S6ttiodNycha+c/6Wm/ejxLTKrriuYtY4aGPp
r/UQ4iDCsh4qnrGVhrkf6eZaDf1QutTjznBEH6oa85B4NN9KUwMWXkmkTZh0TVnvBq28QTn12lZI
nNLZfCJlxb2uFWE2D+soNnbNNtpXX33Yv3iM/q7RW090jotV7ADNFZX8P86Guq4zzGi25wv7ccc3
d9Fxuq+uD6L3lW/lMzvyAwW5H53QzxKOtDP+Rf3y54KCl/dwTFtY8CxkD78/xNtosEbFHpbL6Hyr
o4OnIheY3pSq8P/67/xnr6Mj3nBI3MS9rf5DneT1nFkpWOqLll4RCePn+SfaJMlW8a9f5/fT74+P
k8+TM1BTKZFX38CvBVIDYtMatES92NaptSEa0Nn/q0L8SwTyexXGRfvlj/mHFxkSVe10WAeXMeye
4H1tx7363Q1cgGrXBfeYf0cknV+E+v7x7Aa5fx6v0/Cp20bbW3GU/p5FwlUf8INBFfK/7dNffwb6
n8tfHVygiuOUUahHKtPvH0JOtAZCdFW7YK48R7fqVr3WnuMj8jlglMHsH1+13bQ5N6HcW9amOCHN
v8V1FsKn+M8G8o8NpGH8ck3W2K7fsin/oB0w4vxnpAP+5d8rSfVvlmezgkTzzyx8lTX9fWxNwDDV
m45Q+EtBTLn4c/9IxjyyYbaFXyGUK0rqpxbK/ttqKIYuZbOh/CIn/BvWGDBT3Cf/fZ9bKtUAXyOX
9hY1sm6tWq1fv0zdMFsWQQrK2bEA6OXVYUxh1JW5XfolZV2YOfNe6UxjI5LiFpsPQ5G0BZvcgMKf
0RHmoj8srUbmikCqhySsYhCJbrRpkBqj3XwnVuWJ7IO3Wm2u5wFHL0lUVxgd261ZScQABkKaFldF
IYKYYJlJF9CoGuPDxvM4Ona3iQz11lOV2ZduZAHta5/VyfkBxHgKhazvC51BsVYwns6Wxh8UZ6Fu
a17MAeNyqtWgKBUZCjJWqFyUsGyygZyfFkwJkyMzAqbSDcUxWRz0NFbEebNISygBk+W3Oh+V+VbI
0R1DFrKyIMOv66uHoRFqPfmaZsaBVyNerqQX1nj518SQYovPDkHFbGxHq5Soi8VlEDOP3JLKq3Jx
o6jie+84nxGDfj9KsTEY/RmKg878DMabJBjHGyiS5+rembTM1wr9TeSdwnnc6pCJcct0WGnsqOuO
jVq+E60oiOHLk0rdWjMzbd8uTP22yajOy8SxAjlnD2oy/kET7iYIyJNqvpRmxeDLqW7qZaqu1DKd
NyRNbEvHuzHi+lDm1bnTul3RJmHuOUcwmy/0S+sUy5gPlY2ftTTVA6QXdgH83VujZwAWsTDz1ZxN
Au/nmc1xesRoCXyXj893NeZzrGqLm8hVH4j+HEM0FinaNedkFilmFOCd6VPWKTqe49zGZqlJSN/6
fKt2RIGqiEkDkVcu+Bj1Ph7n26ghTWJpjRvo4STq6Pums28t4RyifNll4wAnd+koauKH3i1uGArv
9Emf/Uxl3MwOvZO1nwiLVKECM7pTPcAeZVXrPhUKRB+v7fbTED/U5XLVyvS+LYYXFh57ptpUJHlS
b2wgFCzYjd00Sovaw9HDyZmv7LJST1xyxpuD+BTsKMaW96bMSMopj+kIdMIqFmdnLNYbItUtwziM
KEN+vcTRXQHk6zAjyboyFPMe+9B7qXSEDz20g6bh6PJu40QENb7psl6Ora09qZ6QUBLFrktbcNiU
FZVhXKdd9lYMccqM1g7rfnZ8o6mDpI7TjaaAa2pm+c2LtGqrFois7OUs1fEmUV10afJUdQpz15WY
ZL0btWoHaiTulzi5kZr53LTyKrG0p7xRta2q42EiZmOTZso5Ur2dKMrzkPauj3H6fYzMYmtgRfZI
hUD7nJ/ynB9jPSv7ocdfXxzceLjCeH/iJ5ftNBnGkTVa72cuRX2opZTb9kKa0V2iapZODxG/ilTf
lham6dZSfyxKt6cOf+08GUpvpFjmLRjuW++W18VgospGWm9ow6bvjX0b1y/EyyLAKugqpGlfufpw
52pNzq5C5pu2NV7SoT1IIttyZYz8yjVvDREfcD3e6iV6AbT219YoCfOzyl1Utu7Ba+t9krHDcrNn
oWdXsdo9OmWt+nh37/rEDGhmrxM885k6sGAy2R1xLYp6/EDlf2OoOLdH/WbKi+EQz5i5RTrucx1N
oqffcZMcq4HBM57AG3IfwtFhuTEM4wu78wCxWx6OnUqnL0+Kp50UQ4UjI5WDOZt7tTURfALeWuRe
ooiAWn41ef2uz5fbfsxYEiBUNIz2NNXcsi7ta9HljwQlvWUyvYHCfehb87MDGJdU9gEUztPYpfeW
2z0ACMt9y4ZHbYHxHN33TCVoqxgQm7CmYrh7Nfcl6hWdb5gmr5MqO6VL+Tblxr2XA88iRgqSb8Ou
3lZ35piGpFrdWEV1Sh33x9eR/J8h11pc/89Drm3+v4KqhTr9T4Zc/MOfpQkGJuCScJ0Nk65e/00a
pRGtzrYZELqNlHsdQv4sTby/raJppmI6pQtDMP7Tz9pkDajQsSFZcISBVjJQ+zdqE/NrSvxbbeLy
e+ia0GlT5/N7f69NmjgCw6SNUKc5q+SKnR3hzyqM5XxHdO2FUDrgtDTyL5ZJULNn5Y3fO4y03QKm
SKeM5XGJYZGQwUl8MNRbcPMO9hEXGZOma+Figu8o1vgoBjZscM2h2jaRNyKHBKcr4OoSu4VcanIT
ZFLOo8emjY63DO0FnrIDl5dmJd63kHr7dHqOJGbBUdT3bZXAO1ZSb6+p8UcJ53cy1BNsinOlopfF
yaqhTRVaOFucpzWc4JwI4nkFB1cQhEkqeI16/djbdUes13CvjnEesmZlUyrZtdmT9W4jwdr3K5y4
naw5RL39aVf2J9YzEYCsQPHajNfeZLyUelUe6yGvIES63/QxuU1WEDJv88Mri5uME8w1RmejJHZV
PU0YOClgtF1GKPPOgtvGUyyMK5z6EVT9xSo+7VzbTivjrcrrnQn1zWnlHW6meI+eysXhapHhJdm1
iVSxt4My3TgoQf0UklwKUW5c0XIQBnH9wHfiDAM8JyDQ5aM8GHb/RmgVqT0rpG5AoLas2DpXnZ/c
HEDGZeoQBdX9tMBXoF33rhKl/rEMyZoaPoptJwZS3iZKCnPJp12RpsSMp8I71M2c3BqZ/ghrAEgx
UXR73U1Q9GfG66I6fs1qzxseBjuPz7iI6+PCBo4IIiXbs2baSp7kGhkIDEBc6FuEYVBCpE9rSAbY
jMH1DQUwvxFzsNR2PQVWRcKiolSXWESRb3d4Ym31gbhCxL0CtPfA0Da3j+ZQ8hEjlIvE9Fxb6XfH
KK4iRVC2aU3D4dgXvqMM38yiIwrBNF6pi94Y/cE1jJ3d7JkVOj+x19X4HulJF0zDEiq6QVQ7vqm5
zIJJONSF2ZUdOcRcKkxS5/m+WMof6lpEkSxoY92aIVBkMSmvivjQbOXFQo89J9NdnvRX86g8kLzy
1tPKM8D0/GZQTs3UnlUjepxKcZplwdWK9Ke4wIWctNED8YqnXvAJ1XpshkbNTC1zvXOpm6+RIx/Z
FqHMxVYFbZpxH3F672iz72QrzjHWNj3yALM741pn3Bkzf0sRpbdtpx0A725wWh5jkOiDLU+1Yr3H
c/+0jlLj0oKuY90k6bI32sKvVRjWWTe/WIPr7kSsFH4GSgufE+173EBAIyAO3ToRgWs389J2xdHw
xuvM0A9UjE9DCa5mJINr0xjyULfWGvy5gnuU/A66zTtJkt7eyXKKP9vdrZlTW3gV7hYj4CrkhqaE
U2m/mIS0iLoQBLnVm6kDmq2jHlifuDylKLwyc7xUA9NRHT1xOFDPxiq4cA0bt8pHwDPp1pjtazF4
HzSDq4XaftRt89owG4HWGhrLONfo+9ZHXJss6A3Ue90rw9xJiEmpuwIPW3XEi5rvC7JFtLwnK6bo
7Y3N/TYs8b2mmu9OgZM+1t1rdBPRLo4VJWS3cKc5AJGaONOIYHPedfL9tlqZw5u06+1skMRXpLrJ
En0OM4gfbb9E96JZqAJb7aFMx9IfABd81IlytskS28KZBWqZPstkvGm9ZF9Y7g/aDrntic8BpaOC
NmpqMoQ7S4F50C3FcwEzKqb4x0/a22O1RQB2stz2wVsp2O3KwyaF9a1aUg8RzWhAJV5eohEetjN2
73avNJtlaC9mmp8TQNsGwO0J8La2EriNsj3mqPKz2MzRSVi3ALevUZwgMV353QKQtwvQW0Vu5bcr
49uSES7GZXgwwH+nEfpccOBi5YJn2JV4N8uLtyLDm/mpsORtLcWF+4EPYRoeCyDji4Wks1+hTKNa
7oaVRE4pdl+CJtfs7kgq6MlUp8dSpyE0rYsNyrz2TKLR+T/TSjl3cth480o+92wUjelKQy9ViOk8
YwOZ1vsSYHq7ktMdEOqxsMGDrlR1nL/ITr5I67U4LCt7XclI8Puisa9cdsBd+gHcThp4OdT2auW3
ZyrWQ0DCmh9PrDBWyvt/qrIvmSNbvb+oyq4/24/P738uydZ/9bMkW4PBLOoupIw/ib6/TIvwhtnE
ACMWR+BLIfezJHP+ZjO84XAnMwz54Tpg/lmSrU50FWQmBnZ0g/8mZg7O3T+Oi0htp/CDYeCh3YXe
8ntJZii6RGKUZTc8O/r26PUp3910LEzl2a1waW0Luy1mJNqiudUI3Rr0gvFQsZ8OB1rIXVl+qbB8
0btPZE5S/KTjA5vW9qROeZW8RCy/fbsvs/Vm13GXRzdzxo7GEmDjat0C1yGLuyqbbyYlH33P0b9F
sJM3VpudanW5EEaYANttnyal3HF0L+HgAtpV5XfqtzsmxfwCY6n38WSFnH/VniQQWObix1gxWylE
waMZXyNKgj5j9VdcFNMAc6XO/bpfunGr6JatJuldawkRg+okdNLdjzZToCJDnWzrryaiel9WiJyJ
1clxtTTj1rNMsefUyLde67ikQ0T2tmiSlyFr+qC06gyyHaEES62S05CUOWMsQ6FYsPtkn3QR0So8
HB06J4cx2JQr+R6NOHsDU1i7TtPyEwyA+M7pnenZHtvYrxxUCd2UWjdQlPVNrKXaGUE2wklTvyRl
RTpqhzzLbpye8FnRhUlFECSZSry0LlzUO02/x2qAFT3BJM1QiZgBdHPdUWgt4VFDb5zcujU5BryZ
8qaDCZceTUexiW1hfoP3W2acTk6mvWuNYQYD+x+nEeI64dE3RK4I+nVuVFIRodgJVUAtpvBgUX2x
uYw2+8wrIjC67KpS1TgoHCC+fcaOyLKuIQ5fMyLiRioY2dWMDBMqXL191ZXsSkgsbo1ePBhxwumS
uB9m3VzY0p5BjUK1SXonu1hiZoQAEMQQ58JKxHKtWSp2sUxus1oABDKJW8nm5DAU0FbR6pWkY+mg
Bpb4Y5lY8EXg8pDkrQc9PEDfwqi3MVvrg0yw1rdMNdtMet8FRjJtB61fxeaPSBengL7YCtKRhDZy
QQw/isxzb8siQJ5b7ZWYnbrqwrNJ+UnB7000b+twxJO3uQZUWB5YggVZPTzXMVAnlZmtxGZHfeLP
dcY5ovYnmw3MprdyfZuuM0OV4aG9ThEjxokIUpm2rRPGqISq1bCTpWS3/DWggIQX57OI4u+UhjnF
Wb6hikNFt44v1znmDKhbWyebwN+IQ16nneU693S59dV1ElqqQO2DiMEVs8u4AiCRCvL5juU6Mv3P
+fF1fqh0uP9zVx/CePtnXOX1X/08PzRc1DZidrQm0LNUk0Pi7+fH6sp2CZn6u9z9l/MD+TuObO1L
mvLV7f88PyziKQguciznv5YR/05L7/yZxOVhm2Id4jqaxdbK4KT6dd2QFUAcpz5yzpCIjnHfjOV1
L/XZ3ohirGueS+mw7FzZdWRwFzGbA29NVqg8jJK0FcnrZHT3xE7PQdKV2YYh4g6fSMCOma27WuoM
LXMbgad4R9KbUuhZ6RYeMFmzJMKyV+nRACivFWcIWNJnOVRadtvDBb0HGbn3IBuUTgSdjkowVlPl
nEWlK/1mbEBgKvHrXPfJJfriJCT57Fys0kVIYEKrMnz7i6pgfREWbLLPw4g6V267LwZD88VjGGjk
yJWH0pDpK6+hyyrAIELMtHDtNSHZRzlYd1ZsznD1yid1yR+GFYMBYuNDX3Mt7WTAwkQWR9sL6mHj
PVnDglvFPNuD/mxP09OAwHVjMFBQRiVQCkrIeI1zNOtaw2wrwVmWjrlKqZ9JD3TRQGRvemzdM2y9
EaIG9KWk33XPeWBy+qmaIt12GJR9y+1vHSOjdyJOcS/5/b4e19nbjAXUZ1q4Vxf0B80qIyly96HJ
NT2soFPgvEHvPQl9n8CPLsexDQqZImRHwmkVqNmJieacgqGyZetDprk6H41av410vLmLkWDdMfU9
p722gWshN9486QcOIwQwg/pdrbzAHbqCkHcrYrnBrqL0vsVJdbI959QZMMhSF8KksXj3TgRo0SOb
eYqU75YHlEadDnD3z3ELixPGbFC3i70vytWIFNU/+grVgQ0MhJO4+JCAUvBDlS/c0j2wqNHZ2+vo
iNvr1tTQW/dude5ZGzF3iC6k1t9aMTCeONHuolphH0tHhom3tTZQY7sN91uQoF4dEOb6Vdwfe65g
3w0hKSDpbrI4Vm21qbZLaR6KkVKnsZ61rj9TbD2Ivso2qdo9FXFyt4ZYB7U67LTYVg4U/YY/Ju3d
7EQPQDJvlwaVtNQwjZFQwj4jTedAa6PLEC37OY8UzHTKR9soSaCalCCzRZOzaF6+kQPGudjqMNep
Jk6JeTlWtXMjiF0PKxeFfz2UxgYncw/UVV6RNvqdNJVjCvMD7F16bYsaz53qnMgf0XaqRw7zDAhP
4wsQmJr41qq1DGevv/Fa82VUEnXDV330xVygrRzw/s7MkrO6uhuWetMPDgA4AA2OMy0+mdjUYxnb
MrmUe8Xk7ozWkUCXp5/5rC80V86LJa17HX3OYawQFeetfmDMaAQA1q+SEciubSKAUgvTDGUjbtLY
Rm+e3RX5eKZoUBA0OUTTiQyTuUfpUDahnTOPkjU+YZQ9s9+U9oPUcDCqrfoj0s03oCYfLGsPjTTo
E2NAN5Gif5qd8tQJNqZFUTwVste3ujfcz3Ov7VK7eK1m84R7f7awIM8JyTeOOdlsG1x8x2mHPHtO
mndD4srQLXIK1uS3wWqubWXq2XUynRuX99bQXxvXM/aeCmethou0AJEJXAqfwGyB5NrQ4Xxydj4I
j+oOqtPfJ2WPEaVW8/2sVrh+HHY34I/fatu87wsy5SVJ0iEYcxnAbBe46euSLDH1PJLKsEWx9Dku
s0fVymRC6JAFogo+Q1ayGFZMbBhDA+ZOZeIHC/cD2ViBH4SQCjWS1jmdKFXGrpmQ80FrMfTmTpY0
wLNL/q1GnnmWlhPXKSUuDU15SqFGJZTU2CjkYS6it6KcwCsqLJVYqsf+ZHC31q34sJ2SKV4klq1V
RmFsGvPeLll+VLUZZoTlBolj56HrMjjkebjsStG8tRgESjwMsYx2FSOf20RJbWrz1COiS6o+8jgv
pI8A8Uf04a1d6nXoNNqhiY0rfKkk/BbC3TFnJdIPpsgmGuf5COHie0aSXZhg5TnqtUEYb02UajbF
5T4py+VxkQXXRs5KaJFlDKSD6wpmgidiPx6IsUdZprkw9SyS1HPvGHnLSUmBObka87EoW26JHw8A
Z6PPd+yrpWNSmAwkBzM/utRD8gC5YeZA1PKwNujjh0RpN8LoP+yGjWdhm+5uchFnzhq2XhLc2GPn
yaVP0ZJGixpkVTru6no5wca8IgMwgO93GbGabg3RqGAiGdemTnv2LPHhlsV73kUMtKGI+batWAQo
WgSuufMW8yWSKjwjvqrKJ7bE36pMueRtep8R+LfB6GZvxcozas36Mwc9GBcq+yrDBJyZmvxKKMyB
zNXXOmV6Nw7pOfIGgog1dQxk00abKspOpQuIU0wifmqSnNy+6NVmGEcHk22dvPgBtvrVMgBAJf25
/lL69cVHZOneVvOQ3cFkeEJEjo41RcenK8rtotZqgAfhWsPay1o/O+XYkjcmZ6qljDzANO1zcru9
M0RXbjQXOzWdjxAjIaFkii+s8hmG13kq9bVBLAq0Cib5CO2x6bSTlQNzqN0fEiyEbzOBLxtlH3Xi
E2Fr2A1Vv+scgEs1/1VWypMq1KslPhUQJ9rBIZc3++YN4j3pePiOuL5F6xwAj693jRtj6mmPSyeZ
/GVcnoJJr2B1MC3czyn7uBAp0aehklOHxPc+FTE/zAN8LCDqtrnmm0ShbDS+djsqtzcqsEM6kexF
pYM0wT4uFvkGQ53e2I3rR5581gx+eT1VOMXFKWPrsTOK/sMkwTt2ImiTZOSqgM/WIkYzOPBAjuys
BI3I7BpnVJOPrQRRV3dEtSh0Z3XqXRHwhULYbu4GBQqaIyx8g2axg17MXFMX+C5kwVq7dn38ynEI
cp3dwbLmZbSMtMeGP80tYadSd/punuLENtbqoT04RnKUs/iRaFYaxtK9AYSyq5Zd55G66e7auQy0
6cpVsgc4DsiZTbPYIPHegaYhIYKNPmFh74a74lzid9dOr0x9AH0ZqQkXq/lWVWw5J10Ki4N4bE98
fR7idbDB/O9Jqx0aR5yJXbt195B39jqc97HPgsg16ls4LYxKUF7YBBublqY8J2NVqfSOZdcemTes
ipP0S35SfUlRZq5OqVqpEpirUiX+Eq24Xnas2N3706poYWa5W7yYgTBiF8UREGxX/UtqQvwqsiGI
xuoFkvKyLd2xoUOPtW2OgMZoy3vW4VPYGZC2kdiYKalsBYWXEqV9yEjqkDjmt7qcLlPqAd50sGgm
aV9sqLu6zf9m78x64zbSKPqLOGCRLC6vvS/qbq2xpBdCsiXu+1r89XMoR4mTTAbwuweDCQZOW1Kr
WfUt956bJBae+qEXs2pl5DphuEDPyv6XK43f3/y7ozbvPMipXnhV1YQdpaW1Glvn3LfRxeucq5mP
ADcjfhGeWjWedUWoHNVNUb5yt0D3T9NlkrvY6yLr0Hb62wSJZjvFOknpvbuz+u6aLHki5kIQpbQS
C+qaYWX7+bd6yOCghNoSyP20QSFyZVXprZH0a5I4+iWL52HHuXvlDUiAFf4lGKPNDmcZoZMGX5BQ
02VipQ3LbCTJDaZCGPvb0qDa9UTynFTR0govSQm3QCJSGs29rCHKe25/1jCws+JqL5mMv5FTgBxQ
qOWgonMR6GdJNFKa92fLuNiserSpWtW1Fhx6vfiSDMG+DaOn1mkfSg/cXDzpa7fejrZzh+KXLjw7
q8p4jiDReI3GyZgFe9xd0z7u0me+wYdwHg071ILrsC0hA2Tas5UV/ZdsAoNTVPFxDJNi1fRxgRN/
ws2iCC+3xWPZ62hyk5thyF+S0iUlFLhOprynVBZXkRl+yQZ2aL8a+o+GXiLc+/eG/qlI/8eGfn7N
ZztvAC9hAw74jNbdsyS6wj/aeeAlBpNienxb/zCU/NHOz/RsaeFVEy4XIpCJP8fBjAcE0DMXr7rL
v4R29ic29IQy/X0cTGFDCWnOgkTMcR6T7B/b+bYe4pzzY7yULRzR0mXW5df3rZGFy9hAeINGtbiP
epGCIcyyu6bz652mi27XTb6gIRg5Dwp/biPMs8kgm4h7nB3Kid9MApSWLWXCMaz6V68biD1VrNeS
Kh2vvSDAN5LlztLr/OLegrVfM5tatFzFPck5F7jbLFAHhqKsStm4oIxeBz3xFkxLHzKKo12amt02
hmuMlnhvKhcbc1dvRis28GFw16XEbyyBeT5ruj0wGnB/Q9ASPdDvFKfQUPmmnciR05J8BJOVGpdI
gLge9dbbVWyKL8Ewb/kyL9sNpeOtkL14O4RkLRRm57EgQoienLyFGbDfVaRkeNrTIIlkaMkp8eCN
LGUI/rmz6GsDfW0E/SGptSNUk994N0/kSGPsbos517rLyLENn2VvvYw26y+2+18C1Jm1zNM1eCk0
lkF011oNDthUQ82QC1DKQbBLJpp5zc7eGJWmC0wVB7tmY9lOOftRGcebVpPBJvQphXM5PfGLxv5p
l3e4MM9Wql7dKdqZflryk5jffNVcc9r1V5A94E+1nFbV4J7pvdPF5E9nWfArbdmNIzu7TjLz1TDr
L6BIvmo+vWIREmWfjhd7oORwStGy4QZvoA3GXhqOXKbd2KyGwCN5w22XRmbtbI5xXC/uunBMnzVX
+FQG0w3BOMe4otnWxklb9Dkbaz4fxMu4pEdcTAVp8lVnQKX2TktJC1LrqPnWBMBc1MDNObe52eSb
1pDt3LnY5jWF1gN/hO/F8gROl5RnJrwOJDAkZOIKlS5UNea5TIQFgV6SEkrJZO1WAPwabTJua9S1
y96tQYsHydfKKC1QCpGitWRBUMQepgaioexk4k2OGn+vqaYi0ZC968ADvtT5pKLGvE1z+qI+svaj
C3CrTDL9Pg99+HgWNhFCIJDCxZRNnp3NJTqlE+NsU/lvShk7CC2SMB15X7c+iVs5EYiJucSqdrYa
me4HS9pg6Dp9wZJxr7m1dXFwJy9QObbIZCJ7M9Y4MpKiWPqtvNIjUO9errylTq1fp110EKo4VlZK
Z1RE/JZaj3iHx0b4F20INsME7h3O7ratWDMuvQwvFN6XRaBgCVTpa5hKwDa0+cRPrsrSGXljs+cy
bA6jM5T7RHNQ10dCXKDKzAAeLbyNoyo45BZoBLDy576C1xN79tpQHtKCvOdzziIDZfF4owS0cFWV
AHTV5C46w/B3etVaa7cprK0KqDl1rWrQh+THINSdtQo689DYwXSoYtJsLVRq66Iqb2zECpspUQdN
Dx5LLTOvjTjC4YZyZa9FlkecUHnQIAoHY+CvmX88VU4cvDd5tmKA2Vk3Thy/TfHUUpR6Zlv/uj9/
h4AxH/73+3ObvuX5P/eps0P7hwvUlUC1cFMTPvEx2f7hAoXZbfFfzJRgR39Q36OLg9vNDfm7xo0/
+pyHe/g4Df4u/kegOCUI9ScuUHDff79ALe5g3ebvdF2LJ+1vF2iuGscYO9e7GKArKSDFVELdmtMG
TC0PjbUM2YE+oxmpb6B2cUZnc0zBRF6BHXtXdc5KqMyS1wShh6LZ7o022CgL/uCiNFNusNqc4Gmb
1brrvRvGvO8kxESgG1zaSQNpMMvBJuLggsJLrItLvMtYajstSl9lTZ6QExdXQTzcJMbsjWzrFfPS
naMTnsm4mOCjYUmqkMamR23xq54NJgiRgTF+mBNnOl3t1JxBk2viNSaUZiShfl+7zmNJXM1UD1/p
J05kRaRyDkayn7yaveCccsPm9q1W7iqZ829iYGJ0E2TiTIhTsIvlS6MXu4rYnH7OzxnmJJ3E1GrI
BqTr6KbLTwsZbdUU0xcm7id3zuMZ5mSeOiGjx2CkHlokYJldsKkTgCsc/s46JtoHePIRjSAYnTn1
h4Dpp4wYICBnTM2KyzjnA2mZLzdZQ2YQGWn7AYYWg1UiaQTOu5U+zJSCOW2o/MA5alm2ZGGPtU7d
ZDLZN0EFS9KIv6msd9n1kV9UFz7iNtxqZqBeSBsh41GI99bQDoLwI2BZVzHnJhcQg43+IyFpzkoq
5tQkBVid/rK9mghUyrR8eOT3eWzl85TZJ4t43D5NMZHHB93274Y5makmtKRZYVCrwivNyDvawCgJ
wM6kLN9tUHKJV51HgKv7tHHRTss+RNfsYlekoPJOrJ/Dg5MUyOjpHfa8L6W+tvSo3JIV6935ZBJx
9isxIkErGKf3UlnbspZWCol7DLZcFFQaDqmYV06adigGbBeECVEav9qJj3ZCYB769+Nwn5VvdfSS
/vNEnF/3eSIKWFmzDRHd18epx4n0eSIKvEU43h0OIyp68gT+VJjA3jJNR4drxQu/oxI/T0TjP5jk
WegRYv+7Vf5nTkTzr+4+UIumtCSNDW5FjkWyq//aUjghno5Rq9RpNNlabUSC6ehUOvjD3/VpyiUU
oZbSl9OHDcO0K2yw59z2Ywycw7aSW9+g73eRle1q0TsA123jK8Vksyw8/wUz+h1Ki+waVUmITtI2
NniswMJaenMqbPs9LNEmJBk8P5GTgcc4l9wVfBVr9vQOAgkhryZ6772Wpy0kK+beAFFttoBxHNRn
9BusYBhnsYtJjki18hWlvtrUElATshlkqxi9l/jK2S6xCT1bvTpAK79yi9Y/ZlGabBLNY0rAge+C
jbJJ8UuQ946ew7R8NthU4IuWIvkIpAb2QgIrvmNLeyKk9FLaY35wwu5e2KEOx4eZD7OlEj670s51
bH8dcqwEVeGILR3G+xTHz7iekAlavcj2g08QTmnF6oG5Kf6tOjwF5N7suzB+a4PJeILoxE4Jdvym
t9Nq5TQp3QJPNMkyXg5IWvPF2h507YACRr+SUd5uIzznRER39lXtODduGsR3YI5Atap7rUTSUFi5
tdXd4saxGYDjkyfJRrcAWxYAyqaEWZ6lD9wbKtGuREin46g6lE99GbC8083k2PpKtFsS9hQHy1TX
dn0J+d31hD9GJyXAUaFFEHDp0c/q6B5cTyMtxvUqNpicZnKPMcYAR9yl0Z6MRvw0fe5dInSV1aKY
XIZsHm+Cf/GYtzHvAmbdCy+5Mlg9iiCb7oBL4pL5dXp9nF7G//VTnopvxdd/Hl3zi/44urz/QNgz
PERw2KhhAP55dDEooZIymEJYpk03z6nxuzgO8oYHw8JDGuRiZ3D+tFLyJwxIqAxN3dNdTpyfimKZ
T8e/OilnhwJ2CgHvBnbsB0vjByhHVVRW64ZxeF11sYRclwzM4aVzEUYUIuYJNF+b0BcVg00qHyBU
b9VEjuUjChpbuA56Jtq7wRaB9z6wY6iZYPsvdHqxvmaQkWpHfujGP4gwVmIdUAoF11aSk2jO8CQs
e4YpFJIjEv0pZefZeD60CrZic0yhshE+oNnyXNLyVMfOnZqiCncO3mzo0bFkST46tdxVQY3nP595
xXY1pPUFgWyHqdJUg7MOXL2w8WVhBpvaTnuTRBRuf330v1/c1PX/5+LO1f+YA86Ayz8++RKnMJ8t
XDDu32Q9KH7wXeLEITrD+cgR/vzkm8QmIBc1HNtB/ckQkYfi89KeU4igSLqMEHHr/HQb81fCAcAb
DMzm/D0QUGTiSGfi+OMc0AzTUgS9056zxA43RZFGq7HIIATegKiY2KRE35O3rbDXyeFOeqR2UrSG
QHHMMI0kHhWZ6bFyo0pdcHpItg9uN8gar8NoVwRXyjQ0t+BgEBAtLCuNyNXS/Lg3VprvFfnzVNud
de10nVfnK4e4Tus4Sjk0TOe0Km5enKmtpwklue80bFjGumeOQoBqvY2b0juRYxLug7EmpmQYrIeK
gQRh21gbuoL0YiuJAUZWQ3+MFBIItDj52UmT7pYos+FVz6UsMdSEwWtv1eMmbfTsKrKTAkBh4Z9j
TVobzBUhmhEBOcAdTIU01vD3bP3IIMid4SzQkq9qdCcFjz7UEcOoX0jTbJZpy7ppGbK03Icybu+N
oWI9Febyqzul3rYP0wGuIzAddPDbFLHqrTvp6XqchTkp2HOLtTHNiWxb1B62rs41vqNNAj5oY5WC
LUnTYLgBqkkc4tS3u8rXUXuLEnqO54XGM1rZ6TqcJiSvidEZrwkjoyMBC8Fe0Uk8mrIxVxyHLI9L
cHSTm3WXjrQc3tJ8X3m2uBNNpKfLGGrSiSGQx3lYhGc1p/gESkZnOaf7eMTXrmNyIc5TBf8tq3IG
jYqow5Ce6CtbqfQKAX7zW0fM1abxYqIYtMjAuyhSlDIhwzrlMQ8Vc6wRmEeN6CTZXJsRyH4WRcWR
IXJ/bEhRYmU7YRDV3E0l1fg+WIDx3TILDmPBDGeBcVg7Rb6tH7KogRJUKIQrbUv1UikXOXGAmMXC
2bQYZQ2XazI8/5DWmv0b1oEvOLuMK0Nzywvfvr/RcHqemsKYPZi1flFTCBGGiLx9ELGmLPALAVEs
1W04J3L1zVCtVdSNzKgnf9NUTRP8Kiq+T4is/3uyAmkA27Csu+mflcX8ys/zdd6zuAKAMEtG2yCf
7YfKwmBlApOAhuRTkf+n7J6NiAvw9/faAh3m5/lq/wfrn2QlIpBIMSj6KSckkfB/ry0+ZkRyZofB
O+Fb+ev5Skgb3CjcS2StRcVGKBu8iJGSzjjmX6LadNHP1Yj7DCBTKWFbVAHtvpICWbvO6jXLhsOQ
og7LQgQ9rd7tgiLg/CXI0axRBRR5h52fnO7YiV8Hn3Zf9GBp+xxTcNoSSuXg1wE6pbzrsMoeZM2I
H6kT9pJkulIJ4uagRdMRffFj8z7LovzizFb/Yjb9d7P9XwdrdMggAvhMwYmE8W7chCeIgIQ3WAzd
JjC04T6vvJ0NCiAuicXUx3ytNeNtJYbLWJTpPtWqcw90NyB5WOoNZCI5XmVOfRc2WBhrVRAxTWET
tCZpil649IPmqyLJBIFd0K+dSdVLM8LgFFV3FnvXcCTiwbPqRVPX0b5PnWchQmcJ3vXcBxXKgCnY
+yMysW7MdmERkUeVdCHZ2gm0senWZ4+7w5vKW9NF/TGNwBNkMjh7ZXQAyDtjCtL11Grf4jglhKKq
nAWKwO0wDRF5sMyWtB6oq0BxNCNQN13qXpsB4nuzFcuUrT3HjnkbY1komm+GW7wzLll3FIr8VfPi
XTQvIfiFZeMzkbKcFvc/cgezxLJDuwt7tc8gKVnR0lbNzi28W9yRxXWViVM1xuNar0S5jiSWQfaL
xnYyjHtrYhWe9CgqNflQMt4/VH1M7A7pKnbln/WGCtP1kw1B0MemaK8J41q1KUnxQ74pRvymyCu+
eFZjbfPRQF/egAn1UrCMkXNSlXo0imxj5ZAmB1XuM7O/7VmPLMQ0vPGVRy6s9K13KnHJSeZdVEJd
x6OLQD4JT16n+Ve9Wb8iXWTDVwuDpJLcfg61zFlXTufJtcpxbOnTRibIdoj0QNbZa86hDIrmZuQQ
nvtG1hK8QfR90na/uaU7HHppLkj8BRJLJivYLyXNYWX69ZMH9IuCJN9ZScmX4EIuu2RXD7ChO8lb
7Abg4LNwejDLgmLEIJMJn+OdW9nHVqi3OZl1JRJ5mxJlerRRtU1ZTxAeCUbcXaTioO8kefZbPJUe
8T7Ot3GWspkE1q0kVQkS5uamhRHNg3jymX6sMNiWh8Kpl+A6tDlnfI28HmJz4IIyAcG2KsYeNcwQ
qE0s/Pe0RINKmY/go9WJp+mKJbURmT8TBZaR6+tJtyviRqcV3mr2tflhiI1mhVDoKUaqhpCrba9C
SMwnc6jlm677yX2BQnSX9q4iLykN4az+qvu/1/2U3P9e9x+jPGj+eTEJXvR5MWHRtxxLepYg/+x7
df85rcMqZuJLselgCVg0uBI+7yWbuDT+41Diu783w5/30lz3U/g7BtM/h1HfT60vnFmt/xeDPrYy
/j7aZ+LUcBvQkP9Y9gvfJGCzdOQ5nDSzfkDVTkD0MleZWIWkMGPEZ+oenRo3MUnRsOesvyG90TWT
SMo5B7D+yARsP/IBlWuTFZgVNaYjp58TBGWDsbah5x3MFL0YYoopuSnQ7Zfo9zHEPo+DwTLTNM/K
zquVNYv9OUwQXlfha+Ew0DZmSwAzzXChyCkccQuAkE+WmZGo1YCTIBT+I6Uq3oJCj5FNph+egyQt
sB/MRoQeXxmmBOhAo70sOIDzk6Upe6ewXUdW5ONXToe13gKp9PO+fDXi6TkgWIiAjsxfijLfYMIa
lkUW76pY20WEdmMYy191s44p10nZQOT2EAXaV+PEoXsqSK8aTYe3JyWC1E/9e1G5NxlgH0/123i6
Ea39MPTNFxubkIXA1Tv9ehC/P4h8NP/Pg/hW/489ouA1fzyHWCyFzczJdqjpZhvlH1NznkNQrCTZ
Y5CxTZtH6o8HkafNmxMhZsAWT92PvkyLBxFNj07paAOuYWD1E1NzZ37Q/vogAqcW83AMLRCJRn+z
ZTqiDBAgTO3ZaRzgBJjasdGHRrpyKsvbwmh5wUU4bKpSgrMkt9zSDlnjdui4nciInyIDvfcl9Iuu
2rM4KjNAhDHWMkz2nXNdwtkfrvOhPJdmEt0j0MSnTN6mg1N6ahjrhvGzmUp6/Zz471L3aesDYNzk
6OXzJMCwpnDTfjQ1lRxrcEu+lvFoi4/4zizEjl7iapwMtJ5mZzdRszGoc8WBunUq7oKJ8e82qvwY
Vj4Qzq1nBqwZHUSlY9/aq7oY4q2WqGo9VL7Y9okt1sNYTVs9sevfSMDpxC7xlD2tzaZTwUoZ3jSu
0w61KXuFeSiXW6WGOL6c7FOnmrBYlUZh30W2PZvcSKpd2+xpt6IMk/YuMVPIELZVppfRsENjWzn8
fxU0xeM0WGSllbjm43oxhoWzxwlj6utfj+jHI2pxg/37I3oHr4rpSvfP63J+3edjOo+BLVvgY2NG
/CFv+/MxNcntYs4r0aqZDIJp1j4nxDO2GTEcSjad/u9j7/X7fUlGzIefGu3dTEGeTdc/8ZiKfz6n
Fs2lQxYND7zNt8JZ8dcLs2sIh7aL67HWnU3eW7MOjJ0xmJNd6NREISmF+B33DqnXUj/qaSaYxYJf
2KeMXx+jzG9O9KrjojHN6i7ubGsnx645D4lffkOEl20dcsSuwhTl5yw2jZalp2HGyIQ2Xjdsdi64
cK0nRG3tRvgGrGXfF+RK535+ToLS++YisFFjioJNCO1gYIjZTi4RZK2r5FPa03ANBECf2iZ0iCfN
i2rhdPh9hVTFb2YHWjQ0G+OtkF36KPU032EjwixS+s1Lb3r6GsBYtOaJGbZOPBArEvblDSoaHkdk
xkEUlKse9AcgMg1szteCyD3rKHAmqHGD8wmn08foGal5HJ7BXzGcrvwmr2HMlGTsBaB678LY05iy
zaPtqeWUIgPbo30G4mzR9W2AZbkObtq+HLSVNII0Otpajq866hC1MVGsMJdgbPUqf3yyh9R8AZIv
MWqMdr4JQlseVEf8ZTsU04sppYTWYkT6MZgJx1EgvK1f9sErn6QIafc0vfhNOL3hyn2stWqTB9FB
c2i8MoG8kflmuSM7J6CnEB0qQGZTx0Cw809mCrRsgUosxqxA1x0NQbRpSG5A2Nxn+OaT6gvZYfTF
nngwE4b5JTvTRagPPXa9ut3ZcWPfuWGZ7Vut9R6gL9rn0cPCkbG80hdGK4t7n0nlW9On3qtGRvbB
TMmML8eMhAOhreqWaIteowlfkxmAT330I0JVtaLZq9LPKcDcZi/JWHkOJuGsJo/AntFP4isntmIM
2lX8JAg2WyIAU1dNMhVPUzdqRz68M8c7x3AY1P4jjpzhIY9r2ttijO60aCyvw55cFmRSTrrKLatH
eN1YBM7GXtjip5QNIhT2ETP1xd4ZvfHm2WSApXDjxsG8YTTiktFe2OIN7Th6b8xyC69sUGMyVv7V
t3yfqrEK+z9n8W3Uv+Hj+/b2z8N4fuHnYTwrDZhXAa2gPUCN/GfJJKimwEjAkvhAosIJ+zyLTes/
Os8GczhIFkgOJC3HZ++CBoEDiXbje8HECf4TZ7HHl/9LyYTgyybSg52gbRsomP/Wu4TGHLrYmcap
LqqqdK40gvVYInsoATJ95RFgjy3BMJNVaPtg+aIBupJQSjgLEPby4qZ6eukKBgoATrW9lLl56hKN
vsJo8mPme9kd+KLh0o1WeTVTZL+2QTscjGxI7sgLqo8W6s982Y6AQI3I2hUW+mER15KtHdKm55Ck
AY8xETYV2v+F5aVk9QpIjWkuX/veFu+aGU23RmMTL+8hTwLlQn6W7hJUXdokDBmxsZB6nC2jEORB
lnX+vcEjdNtBMQrv9Jg8xmabOqKa9lNJhvKCMaKLoYYdS2DwBTu974xFz21JkpMa3EK9UHf2N3UN
41xfwMuwGCnYvX62bUqkTEZV/KCRW4vEoE8cBxsL4YGLoTZVtpC9qp4TxBR7qyeog4mTsWIls6hL
dXDbslqJXGJD7WtPHnt8ay9+HDHIwkiCztnTm2ChVT0pkSrKTXOLrDPeqxBGyopByO0kGhy5Ri/J
9nPiry1szkNpE3F8knHV7l22Sv3txKG2UYiiYZOGfDCHU+YRsa392mB+PxEEz8+/V2dXL8n/OAzm
13weBmStmgRVsONyWdTPu/YfKzMaKiYShEzM2ED+6HOS4c1jeUN3EHlTHXwMOT5PA/c/DIORC0En
ZPTAY/wzp4E5l39/OQ6YhnxUhi7Mb56sv0PFEdxQqle5vCR9iio8yCr/bhyTvNoRi5lsB8sysYMB
G6uIpILklO6tGie07DS5S3y4l5kyyIQZdOQ7MbUa6b8kD1uzQNxEKe7OkvFhFo8nQX7QZjm5MwvL
x1Tf2Bn4NfKPyF9332TMhdcroAbQQVCm28wQ83E4Ir/faG5PjWHE3W3bN+hVRvs5Hb2cEM3QWw/4
2lK92E1kdA1GwOQ871a6TZpmY4C3z7N6107kuDfeG4yDm8h0L1Pl7llh3GGT33KvP2qBWx5zHzV3
SApGaEV74Q2PaRssqQoBLcuHIHJHRpUMVKzELNnuBU9s1/amW65j3X/CjvvShabAklWROdr2A8EX
6BAiclBZURP5WmOJcwrvWJGnukhqA7lleq6wkOD5C05VZr3UYXvBg/De8kbjwS2WUzEg4vbLQ+Yk
Dgjldic9d6WTxePBRFp4Uw5wcIZAl6ZYmY46TL726NbhjRosMkXaeN8FOWWT00yMUZgjubNVWvgw
J4Zix0b1KaFtZW9YLKVZT5tAkZAdlOHXhtDVpSrZkuRCbeE5HlKEWdvMNc55yUB1aNNwFdX1b6Uf
Wmuzfqcu1Hd2YntrFEeouKS9Ypjwro0NFjHPu1RzvTpFCHiZdd+7tQunwUt3MBhvUkIkiIalkOmL
ZdyWzlIGUJBGPVDPKp8ObmB9c9i2rmPqINiL05NVlwdYEc+jPt1UrnaPEulpKLEP1234Tk4KVv0h
gY3WwLiB4Z0QQ4vZVjS09sMbNgIqWiERNZXBJja6r4B+2ANLc+P0yVfFrAFRfT0T+SK7ee3JK7pi
n879mM1CzhY2f7oaZnknPz/cBDVrPn0Zof/sETIzp3cdCAoZp8EK/jmJc5XPi5P5HZ/QnC4iHzh+
Tnq2p2GiZdCvBUvmcOFO9fpl4mG4UW7sbBPNBafG0nnBrO9gmrGJj4JBfsVrpqjUKCIDc+GMegF/
ukc7KyszWSRCoUs1o3FP/J5cSHwJB9cdJwYhclhj920xYUBE0Pt+M+AJpiS9YOMmPcwQJ7Or6CRY
USHNDlZNGp8rm0RvQ3yhflR3tdCSJ7hFGE4rUGsm8i/h1+XaJbd2UdtmgrMyWPQWBMgxh/FjIjJY
uMSTbjPD01ZOTtSHGLr+DH5gPQYFKFNNnRID77tHcGCH7m7RpVA+jah5rTttKyBiLNh/7HO7MxeW
dA+aa8qDCFJ3VcwbH4yv9bPBoGcBj2RYk11rL6x50gj8G1c0gKKNVqYANTDlfK2E8Rhnmb/xGv7d
oR7cbT6NnEpJKrdFBtGu0WKdIUpVLIQx/359O6M99eERh2x7hnPEE0VR3xF0X9+EAz81RpCNCIqj
UOaWBrVdFx5uyXiqWdF77nLELMqZ0fEbgoeFk3kDyEVtsjy7CWVkwWMFkQBW4ggJGihzqW8jmTxR
C2w7rbmbkr4nSaKGFkV4SC6SU9PVaNw7LGYY0em2yp3dNe+B6YcryeWxor7hgSXwzzi5Y3afNXF6
5YX9NW1ag+IQXmBWsDIMIHghqfjC7JiQnPIIleptLAxBjGJ2aJOBZbwYtw5UhF/zm+/zGyrof68Q
7sKX/xnVPu8M/qgRCMkCwiNgkqFPdmzagj+WHSbUYQyGdAA6yw3jh+nNrOKzEPfNq/gPGd8fHQPT
G9RNSJk/NFMfLchPdAzS/LvKSVqsWuaVPnEOM23vb9MbJH+6WZKfd62zo11Iq0NCZA2/kVLAkVhp
lzLUWShP0SlJDSxZChGgCjgaKFBX/ei+FV10wkp9j24vXeaM9lfKRBjcBGypXXNHRPbGbv11RpLR
MPDPTEsWA1m1KF2eGgm7KGINYo44z8fqhdTLk2q7NycO14NnrlstiBdKlKx4ra9MuraB8iAgNfBi
tCjrdjBZdrXnHZs4WEMU2Uy46lnahAsh+yvbKB6coT8PRtgtVW1F23AyXtJa3xi6/hjqvdw4PmSk
ssrUthZpAGwZgK4Fu0OObb9x/fKIZ2HnmfE6CeM7v29BnprmsO6xYeXwwRaNW24GG2ADDAr9iJDT
WE7uwBIyZ8LFLvfimek3pJLlVhkMVSLYvLjJ/XtyjFhpduNKzwdChJr4lFgEk8IT5qjtibMKWUAt
ySpVbHndNS3YIZQtTNMhfWhlzaCbaCZQfzdhjVQ5dz2MFRqKb9meOHDvq7DbGu14E42Rtu4m5kAq
G7b65L4zMRsWuCRu4MuhkXa9pzgWtwpEAzOnAhBaamZLZZv3UxY9USiCq5j9+m5CrRPBCQByDzLj
vcExvosnpFhG1Kl1iLtsweLspmvDL2HM9x8oHC8TK92lTehTZyNtL3PTAvnfvRUx/rKGqzYgxGgm
OQGPsVFa8HV0EnaUT/VX5HATVXaLTW/kHGUONmFtxWdKUFSOdaZVHhkQMa9LzRbdcpZYW5RUl6Jw
v8AH5ffegMhGPQUsrnwSXXTVxtFVHXnRHu00tEIbEYBl5NRbDR7xTDPBwrXl1jeLcx56V2i28Itg
/lxgJTrrcfEE/BFpeorcvYtqAKYkbw18o0OPSkKk/a4S+rVhkBwrseZDmj7WQbdv8vKh0/pt0eQg
44sNui8PkDciuKDpvbVlD7NmHmG7q/ePCMUYXBkkno5b8KdqFee4n3K7uOiKn0o510U1wGz0+js3
STetfqimc9uffC3aKHK4gjG/CJlfG72/Y3Nx0Tob5zA7NmOWyXQQHroCoq4xc75ttBx8QCN/aWuh
T/gWgLGcvzTPZLl0bSPDqtnZq0zv38NkZIGXmc7aKOdHNWlexxhAa+G+O/HY7QumYktMMt6Wfncf
ikquJnIPapD4pLS5uTduNW1EmjOaEE7gZlMeuYRcUQEEY9gegJ7Em6y3vnWytTZdmHwrzP6xmrqv
jDljKLvo+wNzuFZdTJZUxIhRtTYZfKkB/1d2uVEfGXi2R84eJCqAhhbRWFV4ErN2L/MstjdmV9ry
odex8W5DqxbbzlIlz1KVI8N3xnpau10wirWba9ZIo2+YsBdcQZtem3KKziQ1qO7O+y5m9mrNPMLA
LY4DZuTwsQaJ3F+SttxBvRJLXFHpmpWntSHaLVhU+vSCE+u28WkU2mQ8WFbebWqtHreuZh8lm90V
glZrLo++YrJmz9XaEMdi6zHRbHcZzj5cktTsg1nwYQYWgdiSsT4o0eK59K0XYlKMVevGGUiw6r2l
JliahKbAlBpgGOrQP+q2xn0OyVeVgHcjD6lkqZ1YtN5ofnfE1/XcRwOREyZCIbq7Roz6Iiihkjbm
eAgV41BIF55TvkRJcWvPQTqtwcbNZBGPome404347DfelRarpzQ03ieBda0J5HvSZ7/lerTSpoOh
RjLpZE0PUd8mI0ePDjwY7NFIeEbonPQkZTw1Fi9DMJGMbdbAGtlOV0QsLPgwnm0nmVYw+FBdgbQx
uDHBE8lpFY3dadLV0ZOjv+RdKHcO0OBFU+jtFuAlZ/t/2Tuz3rjNdUv/lY1zzzTnodHnAF1kzVWq
0mz5hpBkifM889f388nbiaw49glwbhoIsBHsxJaqSiI/vsNaz9JLz3Ii4rTriXvJl24AlcxGcK/W
gCRtPfY9gOixZyfOwIuzrHASZ4PDG1TLSDGqDVHgDvaI+34sh6VVDAeAAOrCtgFOBIp1iob8CAot
c8cSRwU78yZr0KG0j6YzTEvsF9cTKi/UMijR8LuVLhkft37XNV435Pes/3exlPAeu/lTRzW64q7T
uQbmgjmXKrk1YXON49xyQK/kMj2QVAysLdA2pJ7fVj1BKJE1ukCyBabr3NvllWMUTxEPOmIm5Qsd
eCYABt/tc91f+7NSAwypt4HU80ho6RZUg+0ewbZbx5jAgwcEQRMLvG4MNvyR3pwAYZ+pRFa52t5h
FNowokdG1KlcgJ0+ArfL+qWs2JXnJL61lhApuBayLM9M+nUuScraVEN7y8bCcZswPcl0bgu4WLsu
R/ZWmc7OasbblGyZ5VTwEOTIWgGGCkhvVvZp7pguQ/GADihP2SGoZ1OBZSc1GFnaXAbCq6ZYk1j2
LCat8t3Y0ra6Hp3DLr6TwP+spBxeNYccB5wxbOZM5ZYw7LNa9zMKCi3zzGJ8zovgXjOqExTB51nX
nkdTXjFa/1QkwaciKE2v1aKtn5Wf5ALejc6uyFb3Wiy5iLwTV07DvVoPj0GWgmljbo/fJuiiS9YH
oFRa+ToHzIJZ1Fhx1ofuP2X3W9ktUjH+uuw+Pn55qR//PKcXX/Wt7EZjREIhk/q3/C/GYO/KbsLL
dMpeNpYaM1lRkX8bzVm/WRbqBpshvY0ISEhmv43mYE6LkRxlPFhqmtG/NZpjfftxNGdjerDQSFD7
Y0EUb+L90hReyNSorRKcGKqvLAHWahvBw4W1RVzofQl7qxypbGZoXJbAcuVZcIQfvJHhdekC3DU4
BmLyAQ+gle5HjICL2YmPOWYET+GQzAUArBUoMBsmGDEW+G0jh5ojKp+VrkQya3cXbYeTRukfTMhi
CoQxQ6DGoiD8bDqpJ/VDcFernbzJ4ZIF2eC7lk/aKW+7WHXQywqBMeO2fOAAJENVIM5ALQG1kEx9
BRD1tR+aF0QUwIUEGs0ueIBn0NKKJLwEHfcIwvpOEg5vR4DVCiPCSgR/wRDQtQ640aIE8gfDt3iy
IbOxSgZsDBqpHviIncC3NaVyluC5xSlxsfDdYgF6Y92ATRr2G7iPs5xr6EujtOUQBxCXmqDi0Dn0
2I6HZ0hluBEoDhdJaKerOTRQS8nxTQ91DqUUtY6MH7LRUuswZM51A6Muy5TLJh/qVZzCfZTg2IXw
7MJ23JdFKLvWEDYLHeZdoJQx6liGBKiaikXRGZCrosYW5IT5FkhqvoGI0gHqt2LmcmD1bJX4MXaj
Xzibp13Qh4Ss5mCiGwHk0wZbWpYw+kzB6tPpOqbO9y8nAfILq9ZZTYEM3C/NHCxZANJygf4rTGld
wALkEbEq4urzhBhk3QQahs0yzFZJYIGigiWIdxmFDKQ/8II+kMJqXloW6ME0yJ4pKGAdCi0nRoxs
mQpU4QizMLWGrRnU5TFKKFT5ppOHg2QVC9ShjDo08pV22ee0Uio8RJ4NoWcx2/ViAUu0O9R1sgAo
1sQmuag2n7ta1hZlQ55xJ4CLMXgsF8qJtYlicIzzZB+Z/iHkHc2XuiQ4oXaUi3xocxf+CiR1PR69
oI/AAwaTLaLArnPoj73AQEYEjdCnWemmbUaKmmAgMBhspA8/0hIgySHzcYAFOUM9gZmsHOtMYBR1
oJ7qGwzwD06sPsmwKS0BqVTH5ihlkrC+2RUZrDmJVdUTuSWkoA5WRTZJ45iXDHJbfafMaB0BYRow
Z8eajZE2wPMM78eAe15N7AIGTMeTFJjIpLXa2RqyhyGnSvPtSFn4DdEWlTHdjYFA/BItDURbiADY
nhUFEWJJUuA274Y1+/xlEwH09mtm8UoYmPu66lER4NyjUMxv5sI/wYQ9dCNS3K7IX6O2ula1cJur
9r63ccC28X6ew7WaEBsohUc5ZrhcTHHADrrTt1mtX7F97iGtVv2qGpW9rYGuxda8LaxAXZoJb9wJ
Ns2g72VJfjVba9UkSIsLwLyFn027QpoeVZl8skoBJFqNLSTtqTd30dyu7DEYacNjq23v86Dqi9UY
lvrsAnksrjU0D3fFOA4Po6+CIzPlpq83GoTvz0FSGLu2KdPgTPhKQJlRSfpnPyCJ7hiTELzOnITU
bMe/V0LdpP9QuTR8UYcJcr1eAEsbBM1+4LpbGoJwz1X40OndZsYsTT9rbkJBw7cmpmrUgTBHQeXb
83wac6jrczbPLjuVc2oGyW0nCPtZGXE80ZkwsIxfg9q6rE22FxJBelPUIDaektS1UMBrTvslm/q7
StD8uYvXNnh/2Ev4HgH+O3q075LJcMtSflRGzvFCSAsQiCqDAsO89ZtNlUoR15qIEpBVOiIigpmV
wHomeDnZ5oLg12j5o1X0lOqC7meB+YuS+EkF+0d05dMIBjCv6HFmwIAgd7gPBSvQAhooj4e8LwiZ
3NhMxPN5HXUUmr2NfAbeYA940ARAONNf+YJIaIEmVJiKLxRBK0wFt9DKBjJ5WLyGgmlYC7phLjiH
cGJJU1YjNG/o4iZgiFovK242kJrJZvUqislUT2vr4JfVuRAsRaxrAN1ZBVSheqEL3qIRQBmtawiM
oBgTZEcFaEYJKJ5byOZ9bPfPsaA3DrQWg+A59mO798v53qjsBdC4E51T5qogIEvBgqSpXEWOvC0b
G+ItqCOQkgFNMSL4jhVXjuPKJU6IRTRxeoZ1bTmMcBTQk2YPPWcQNErNbvex4FOyyzH5i+OqBl2p
C4ZlF4VMfcBaEgfJ+cwSKemhAEvRNciSx6qztmrFf0Mc08PHTDR+1TKkj1qgMy0YmpkSvMSOszFg
axYSf+pD22x7uHvQNzM1/GfR++9FL+XVX9eTh8emefmRVpaveldPijhbU6NiY2MisuN+H+My4RX/
mUkucIf3Wtk3MzbebZn5Lqr2t5zcb/Wk85slMw0mdu7b8PdvjHExt36sJw2FN2YYLJZ1WQfl8309
2XfOKJWFOZwmNODWMuz9mKhOC+xkMEUhPEx/385JoC2nuO+TO6VTgMkg8Y3abTlH9OK9SZZiMznD
vIwJeqAUG0qhhBtyvOk0RYMl6oban5dtQNojs5t6M745u78ORqamaepV++b+9qd55j7+agvH0ooc
tTIDdWag8mYgnwuFWtF6G7pkasAARhdptwtBEMXemDCheRvW1H2gG7epQo7biuymLZJepka5qZOb
Qpm0GTWGQq+DZo+rIMYkugwCMlWWZOnJxFeOwU7y7fQpAsPjOZyLEokSU7+UUiyxPb4TGNLo2+SM
VJIeV+5Tb2CLmedMW7fyJIXs2AJ9bUzhqzlI+iLL7VcW1joEvCBbWiV/RtA68Jy+A2HJZGAfBgBq
bbEbCyIeIMA0KJvwvD/JFnNLFRINrHhGAouahyRWABgdiBnlDXgy1sk+bErFFu7PuQh2ZS2lZ31K
wwUpvc6aCehLYs3GWks1kmfDXl/jWIqWckOWH5Uc6HzUiWfiOBu3cnhilz1Kk6oalrZExltgay8h
RM0N2n8ui562OcN0tqyLwFrIpvRUJqQOmnPauSxJmZLV9as1+D5EUDbdVsb+3htqUqvSVrXWRZE1
OwcdjqdKYXzkPdMGFGaxS4bejboYpLJlsLmzhunScXxjPThFtmy60ADkl0FdrnV7MXQ+sNK55m3a
2qc0TxgHVhQcdc10yxddP30Ng96SQqYrtHhNCEJ1GRAouBiDob20IhbL86RUTGqmCQxRoVLCy864
bHqeJkBay+WoWJ0YyFRLf8yTjZLSgSO5zjb/tOFft18/PTavi/TxR9Ed+rtjU3hQeawpKONkFbkL
bfDvxyasTwHttHRTGG7EH31rw4nc5K8y4Prm//+jDbd/Q2ZjyTBndGjoGvb/v3Ns2n8y+9DvC1MR
kwCEy5YQ7b1vw3U7i2vGWdPJ5lQ7W9D6ryIIx5+KVFd305AkD7BYrJXd9vIRl5+/wFEeUgj0853l
DIDn5SJdk1qP3pbicGlJLftcMBRLu5Iv0jR0yIZU/INhsFfWaIkXPeU20UEzyXpygUlPYnczqoR8
N23YbhTMCM9kseXrOB98oQdh/V824+csDINdUYWEBYhYRhxvoqmxS/Za052jVm4oNL1+Zu06VpHI
iqVhnyeFwx0+jJiEHN9FlXNKtK5gf0HokGMi5iBYY4O3EuKmI/h92IXEaBOqX0m4gn7ZQvqr5jlg
zl8+hAICCJ+YTORyFxPp6Y4CFKiSkkHIqKWeAyX4JEMTjDqtXullfmkI0GAkt9K6FfDBWWAIwxAg
YQoVAYJBs41aejo5DPV1kub6shcoQ1Pp7QWjc/CGGURRv+gv5xqrfpkC+0SYNC8kw1jGdE/MQZ2L
WGOv1k/8dCSBUQTkqHmZQCs2jcoqUuAWK7iLnRp/RhAJ8yttc9QFZrxUAlKAaXZbIPf8wpg41qDe
E3nlm8oGM8likurAHY1+nbWJv5jmrnzsiyA+jq3+IiWF7FUyxS0jCduDZeImcXBtatZlZqHeSMZx
rfbpnRoPrXPQSblY4G0+9ZVyLlT7Tg4ai81VtC0lec3T1kAfCS+OUxinIiDJtNeDY9Owi7HybN9o
yothCE6AOVz32J0xRfcJAUqg1rJMPlmBs8mzYo3B7BCPzrEc5HUIOmU5p4FC52ieJz9eESdzymZk
ImabrRw9IxXemI4GmxCGTbdMvFDMjzoR7AgW5o5YArUmqUFhtEvgFM83+ErTbeXwxBx9iJ9F2TCz
ymngL6oE262ramb3DB2jdnEyELAOoxT8NCr5pZVFyUFBOElM1sTEm5ApzbOUejzQq0Xbfw7jt8NY
+/lh/Jj/a1U/5s9R8/wD7or44m+lLKpFYpEthAVvbklh4Pr9TNaApWEG+1rIvlW5385kC/4yqBaE
qb9/1bdSFuEzIkcDlSGnNmGnf4sLgOnsg2YR6prOwFYoF6llP5zIRgpWI/br+TS395XtYyVvvwrc
n8f/HbzQ7aVTUOT/AjJ8LsBxNf/5H+I7/OErA2HAd5UxqWGmcVReQryDd0yjufTNckRXd2pGiVJs
ZaRsbYwvff+1LPjL1/n+k/z5dYRY+93rFJJSgoc1lJMhSEb1YbC+vOtSfvBBhB32p5/kA6EmUCrg
ikgTT+oIx02/tZxXBi2uI6Hy7mn7ZbfpH0rA1NG5LfyFEr3E4SoIzmrB2X4dIMFuq71JtrHts+jW
L7v4esDjPkJ4/vk7FZifn77TD+2JFkl+i/Gan4W29CkXq/K+I6iWPuA0+BhNCQqMJowYKjIENpxm
9HVT8pe/izep68dfuqLgTkIIS+yA+sFMiH5N4RluTSeoARGUbgCdh0RXtRYxpF5B/43lvNvGhPHW
aBCMbrhS0sGk+2Ea0MvS7KLCCxdqiYKcEam8G5yWsj/NPqmZtiNJFTi+KsXK7ahl8VpLnJhUCRu5
WhwvmQZsy25aqH21wgfj9e2EEuXUm9GSInwh5PadOa/r0Tln6tmf45XffWr8FOnBTRPYR/YB9E1E
DuS8AQYBGHRcayZ+iCCExLgpSvbepsahjTI9It2gU7qDJWfLodxM1acmBpsgwR8Y8r3S6pfkFcZj
tu7J0L4FQLQotVlD3HbTgqgjenER92OwMKJA99DbMRO1M0Z4SfrQMvPMsrkGo+03Himzh59fIn8W
InHuvLvxhQPu/e0CSAea59jMJ3mtbfztfGjvtbW9rU8Ikg5QfFzyJjzHnVaau6t3pBR644O0RXi3
ltfmMVrFX23Df33J/OKSRdP1/v3owDytTFyyRbItMEQRHdQsqlUl/+I4Epf+xyvz/XH04cAjA21O
w5DXkVj/3IxfqoAeykWKa/q/uAmU77VeX0+k9zeBWEq9O5Ec3letOZF6CjU3Piej140uptqhWaK/
DU44IH7+O/3RCchYgj0bzEvU7B9+pZmZjZaVauoJUC3JJk+9dP75C/zoAHz/Ah9+dsSMWHkfqOqp
6b2OQnCQ3GZMfvEpfvUiH05ZZ3RMFhC8iNPv54oE+xvV/Pzzz/GjR9L7z/HheJx4Vtd1ZqgnKDoU
6gM9+ZUTXzjh+PWz/K/vrurmrSV6LgjfYFfXfvjX/7opMv73f8TX/P53vv+K/zpGz3XRFK/tx7/1
3Rfxjf/9wt5j+/jdvxAzErXTZQfR+OqlISbwW5cm/uZ/9w//9fL2XW6m8uU//+PxC4wdL2raOnpu
1R8sf/m1/GTEVzT/+r958JK+ND/+0m/FkXBx4eXA+QB3keKA7/qtOAJKh2PWBlaEsYoKijfxrTjS
f7MZAGK8AvGA7vm9wUt9s8szAjQon8DS/a3i6PtLURhDYHgLpwlbauaN8ocbKrYtFM45V0aXLWfD
WvjhWq/u3/1gzn8uj75CHf84kb6+CqRag+2UDjXX+HDBV/Bw0I8Z8UVbxFHqFbbMk8dB+un6GgLF
WGtqOGKqcrACO3e7MozddPb3PY6HK7kML9OIAHkjjA6DLGPXUCTDVewuXaRKJLtyEG4HApS7PjxG
PQESnXKQ5+ESGd6xmov9WGsnnP47OU6mRdYHwSKWK4cVOaMwvyOMJlKdL1hiBwIG6GFiRFVIqbvX
CBc+SZC0T4taqNGQ3xMrbEnOYiKu0twN0pyt/WG0vFZiIxg7Ko1MNzPhTNCSuDi/7nzNsbAaG9pn
NSMtU+JcW0dyEprLsKtKZF1TldwXhUJ+m02s4yZwSGfbKhqRO4tesy8AE02oqwmYg2Bth+ECZ6tm
381qZXpppabrWppNY63Qks8VMQQMiCvoO1k7+Qt5NKSTXanSke9fsr8mhl0au30hlkMIvD2TmBEG
luAPassmpCLVk10HHc4+83qN9tmYAqvZq1PB5iaYtCvYOsZ4DhW4SxWq2b1Tm9auR43+IJuKft+T
E0Go1ATutc1Z8RF0bdQuGuZh3thMjxFkDo1zi56SGFBYAkvSKVF7lmPI0pLdXxUE07ZXjf7C6Tpr
2fIzP2Bpbh4bvD3jhDpqGm114VQILtVMWcKfgGGS9sPV3COzl1HJOYXiXEHMIyAkJvPRnpA/FWUG
yTDRvb5Q4DxE93aGkpdfXQ+yCX1ATceJ9wcrwZiO0c6cu3Bp4VJYt22q4K8lfLgJe5ZfU9WsTa3f
DHpueeGoNpcBvgKmodkxytMj6W/5Ci3CpV4YWxvBkOeb6YaGIvECTT43znDdKlZ/GyBxfi2ENT1O
PHMYzdci6jwjowLyK+VGluB84TonuTlZOhJLdRuTwIhZojHLL03TvuRR/TLF0x2oFK/W+p0zZisO
EODM81of5eNk9x7bwA04jcOMKTGo+ycZL3qVSat0UJiVYmLspme45sxYn325U7zBTDUmzgFvwugf
DDN6SmdTX5oNcckYRvAVDvNBzdStFqhHs+y8oUseSn59Tauxz7Otpd+bq0C1N508s1dtlkHmU3nL
1UIjeHKhNLm8BdsfewqBFoZlnfmMV0YHlnlEnIU9yCdArpejI3tVyF2+etmmeXMcqnYfqCMXM2mQ
aYWOkMU/V1mGQI+bSC4sckbRzhJZaZfaAcXzvcT4JWGt1qnBZV6VB/yTbq86h6zrL0MHc5JaLlV8
k0z2CdGYEmURk5nhdjXJHUEtXyRS8rlIlM8wZXfAFvZFau/iTrmcB8VLSdsr0vTIttet0mraz5bF
3oCBts3uv0qsDZwtz6kxwoQsf5m17exinrbVnOe71i7Y0ALnkogu96YgzT0ErMm6chAJN4p0NU9Y
339+8jIH+a4WfDt5Aa7A9KUg5E/tD+d7OCmoFcwUaU2VqEtM7NPS6qcE2UmfHtoMlpfVEwVZhBkT
/vmFBrO5rKpEvrFnO12wJr/q6vggj76XONa9PLbrKjRfc0ZTKD3qehnEvkyMn7wqZq7p1KcD842G
yA+bwSLCV8+y2w15bU9k2HZuFDd3Kkv+Za+0mquggSCKxB0qaqytUiIJb/18jb13rer9OVWLdZNZ
X6Y0u+6seNehGZqbdFd16sEqi4PdqM66HSbiuaZoo46hQXMKzA0K4CrU43XAT8dr5OZKnzpktKG5
k0OH+xouysFvSc+J6/E2jnodtRCOM3VSTzryULcysdCOUXLsy/kixEObDMbaGJB3R2nFglrE5dhk
RmY2ekAiho2gPKBs6eEIE3CUDvu0yzY810jAKZGrF1PDerw+JXF6hdMb1xPhK56ZSxE8NBYTdX2O
NKrNbEb8XdfxrT7pwMLH6NGRrX1EyhKuLiTUeO6SpBKxmWulzMCtKg9xNnmZZrp4xDc4II7YGL4U
jnWQK7lfBI70xVfMeVGqZNh38E0TMBlbqRRnWXuILPOTKqck67CLJtjvYcpUxY1JnVnqYXDSZnzC
RGuIVOTY3pC82d0VOBX20JlqZGND9nXK9l0Z+X6G8n1l/3ahmkAbSd4miBVa5IcSIZ7rAdxsRoJl
F3lavEMm9ouq+/vJPN8SqrWCDA86kQB/CW7R+15FM8Hi22RiXaRmvJDMExqETVReEc7FlZC6kVmt
nHj5ixvwbQzwR+nz51cVn/tdh9SVCLl1TZKO8pRfQ/THH8v/4an4iU0kKApQW+iMjXuc2Nu+I60b
dQFpSfkg4j+jws3r+VMhWQcm2wxfsnCVOoPyZIe6hZY+vjXtbPCCZNpbqf5g+ujBlZSxKVdTXmDU
sPKlDfLCU8reZvI7TdtutLSnIo/bFb5ZbRlF0TP9VL2sZDP0OIEnZHym7LL+ve70dMZbiBQl6NVt
FmjncGq/4EPb8FC6AQm5MpuhQfEbbzQ5lPC2UqGAOszXjLZlt8LCgitfWPWj8UoNczj7UQ+bPzAX
hPrtuehfqwZReVNG21qXNjhRb8Y5vtflZGe0BR5NkboR+Rpo3DZCt92R0DTHe8yoXj75qqcx2uMB
k3DKyve9EANFcXa0w3Gd13hq/JkrWF4mbZChayy9Is7sRYnF3atT/1iCrQwMi2Aoc3btYLwOTWJE
x1K66VoG5prWyu5stWupjIg56IpHM6jIT8suK8BPkG1bhO273iAAEUQiKnGbE5HYtHwKN6OPqK2v
u4vS5BlJYviWHeQLC5zO9SMbCZa+Dkr9YA3pr/rxX13jdBTvr7ZBp8RQoZ4f40N+Di6kVbWv7mDT
bI2NeQBOGrrP6rDAF3nMPw/7n1/rwl32fu7w7xsMkpxiEgsAZ+v7F4f8ZOeJrUtHoCyL/KC65QrU
urKX7q2VvJRvT5J7uO+XdO79I/9IL6aDvNhFK/8CXkv2i3fz/YPv632nIdg1bM0U/IoP47kJjwG0
QMG/kc+E/OAEuq//5jz27QO/f40P04+5ztgQhWnIw/UlqDfOdPnzn+gPP4OFx4/ROu4H7cNvMxvN
Gd9vxcNbOlcO94NBzfn1hPqf7t/XL8XFI5ib/3/ad/Eb/+v2/eYlfMwe/9y5i6/61rmzamYnrBqs
kxHhfK/QEUZLFtA8sTBmi6Xxt84dN6UO0RjFN88yk/QFLopvaw0UOiw82DVDm+eL/h6axVDEI/GP
RwvgZHCSDJ55LVp3MA8fLo88tTU55W2cemQnjRdr2i01zybOc2nXpQHkODSPRDJjHO+77ThMyqLI
VHOp9M6uNRLTLbmV0blMN0g6qnUXZ/gKFHjuhZkt4658pvRWFPBQ3eivTbPoJE+TurvGhiYyZfGw
NmvTh4E6mduYLtisVM0trb4+GqreLYxADVejpTwhLnyV/Q6FzZBf1GqsUKMVaK2x2lzhiL/E3mGK
QxWPXzIwH05JVqyBaS1SR5CMO7yfk1MSl867ssdkFQedtFFiIltjIbmxu+iLkqtj5zU9g/82j/uN
CccPyxFSy1ZLApqGXDn5akxcX5fz33jobiwFRH7Jy89RSt1lyVg+HMSuM2ZsXFrCgKINx9TyT3ER
7kir3rQ1oGe6xcc21VhyBMDUi7Y3sIvEVwU1L8pB4l1kwqpM8syjjMDKOVRY03bMmTt8LDWMnKVs
S7fl3Fw7db3BCWtvjWo+kzg1eTh077XKei7q4qJCGUjEVbhjAXE2Wv8m6AUZY6i9nnSVutS3cucc
DR6/ntpIJuGaurUu0+JTPKQ7M48exrht3MmRXsfADkm1cFZR2n82cuelzK1qq+hh5MZ5a6N94seC
fIcnXhiEhygiwCepmogMxOJsT/FdIqPTGrJClOrGuEReMGANx+c4N8292TcPtomhUldJvQ+ibjEF
Uehi/6VadJJVJqdACWwT1bk83hT86tM3l13Uyy1aHaV3zRSiRKB351LY8mRh0Ktx6ull+4nF9Jcs
yPWVrylfSmHqC4W9L6ez9IXhL8itfmUKE+AMa5+XV0dkXkwF5De3YCSMg9ReW0lYCQOEGQgrC24E
fIYTfkMd36EmDIgO4qClEjcJHoHmlQWzybtFRs69X7qlMDFGswVC34dCgDcYExn3iD8WBMkJ+6Ov
VC5QMG0x4IwEK+B4oT2eNDyTKt7JEA+lmdhbCU9lRxWVef5wdPiejd5el8J+aeLDTDLz3nKyEwbZ
dDFo8eT5eDYTBcm+8HDm7SdLmDoLMlAWmB6cZWM5jMwccM1tDFs6KY+q2q0bKbttcIkmVUBzV2Yb
Bf9opE5nFT+p3g2ocYXFtB7HU5aq8DLk9CHEjmqY+GFNebC25IIeVCe7iNpynQoPqy3crEWSoCIz
aYGCEK8rhtdo22F/VbHBKln5kApfrC0csiZWWXAu97gpCOvDQ0sEmuONwldrhLrh1cJrGwrXrdS1
60AngpJh+OhK6GQG07+fhVe3KvGMz9h3Z+HjxQhFAG6beiU2X3+uXyrh+1VnMlUrh4w94QkOhTvY
4cfq9hiGVYzD7cACSxNe4j5udC/pAXDQO70SwLfXMR5HYUjsuPAip5iSZczJs6nd+Bhj3Fr4lqs2
lSBxKFf0DCDa2HkFWn6pCrezgu3ZdLp1K3zQVW77S7WB+IRF2scq3YfNUX7zTpf2LqpDYlGt7DLF
Xj1akbQLMVxHwnktt+POxIrdB0KUNqqGG1ekd5v5kCxT4d2e5fA457i5DYQPnlSnr8Hs31SYNjCw
qwkfDhf4GMZf6hIOYYE/XBZOcZQzqouiUd4PgTRvWqwd+AjEMg/0KB3cUhKu88QJrkctWnbCjo4t
3XGyfqWX9Y4RQshTIAThI1zs2mB2mFwKY4Xo/lPGcptd5WMFsBeVCS54Gzs84bq3zO0OM6kVAvO3
1Ht9VWOgJ4h3H2Gojxu/3cxcRBAxTNJ+sN1PlvI8Y8M3As7sEWM+xfeyUuoXXNXHFuP+jMHXEk7+
ZmJ3hbUfII3nJ7hVR0z/EL83FhAAOaCP6bkI4IVwcpe0GngsDUEOIIfwpgQlMOvGS9JyUEaaWTAB
sTbc3OOiBUCgaLilx8Y51Q4OQRVIQcp1yxBTB7QjzHW9KgE5qS9rA7yGac3FmibjkWdnDR8l7Kin
p2Ipg0072eRlEBQJJ75u6k9RolwbeZe6qJpuFat9iBM80TXnAqosbPUp6b2cIAp4AftJ8+1xXaP9
5v091TFIkZxRUQOIfOHEsMcxnswXTFwMT2jYeeYdB50/G+Axtw6CnRb+jlZKxdLJui++EPswBf6i
hfkpjp3G9SU/cdvePyql2S10EmVXTuH0XoDqaOGTgy7ussr1bfjUlsxdVtJqSeQnFF2wmdhRk+z2
pEko2wcpv54KTB2RFH8mXO3ZgC+ohRlTcD9ZU0fwO/D7a8UoFRe3iLWbJYvoMMbCHOJELlAauWQN
TIjhlebkzDpj5ew1YQrk0sWeRosNdSMFB1mLMtdpy1dbAlok687DgPRhKVVMPYLcfExCw1iUgfRJ
rjr/srbzI6c5UU5HnSDGMNINiYkyJlH5LaiRgZ1IbawjmWaSUNx+xl/qEO34Vj7+U0cLNc9f19HH
xzr6kdCdL/q9jBZMM4sVGF2YhdKdP/q2AFMpo5FkqqbhQKECGP17Ga0Rwa7KQq8DN/3fJLRvZbT1
m6BF62zGmORgNv5bgWQAyj6W0QDgUeJDYBTvgm/4fdtqs2MzTUmeT1oW3lU8yQnnnPJFLlQQypyt
SCxYK6gkjEliOOPcZQWDBrnjhM4c8ya29aNWtNsMXUbV2ygZLCuD5BQxVb5NC4fsJlW+DKS83rZY
fqC8prH0pILPQXeuaH24t/yeNHcjl5HqQUzZNByBy6yLu0sZNJJXdOb1kIgZRT+dHIOqdcw1rwyh
RFRjcTNN0l1h5Lca5r+FzFPRlWucdNJ0CiN7B3vXm8LmuZ61BafisAhi+aqMVSzY0p3aN7kXtnhI
/FZMO4lF6fz8daoJNwpVZeXroJ3UmimRoY4nMiUeqxRbnNFrnUei4ZdqyGavlRndO6O9DOR2cPEs
KquEqC2KY0mftsNYSC4Qqb3SWSdKcaQk4X7uRGQ3OSJ9FrIbUPt93Zf3oew8SLpVcPxqlwkZ9q2R
3SURQUJ1PN+29bDqO6W8UHzKz7J4VWWFEUt05XTCe6llhzLItko23SVNt5eK/lWuMV/K0mS5qqZ1
lBMc4ZKUtOS7J5uqkUqOLpO6oyDzQWUyYzC+OKno+VF/V4zh2iFdhAVSVJG3W8SUlRka/qVNKeTm
I0ecKVvP4UTGtgb3rPXJ4G1GNka2ijdH20DHOPkpUY0aMzWSs+qqpNbmUblukYclCyPNtlpbu2gy
ed4BAdEKntthzlNY9p8SjbDeFDWZDtIlzsfHwEQxIogbBV0RdeBAeDAEq1CTHuU6iN26pwBVEobq
kOuI7bSPrJv7pS033QpFl3lIB21TxrlIgmGlpbYZJCo1YKtmObE3190m7MfZbcxUx3BleTa+VPz2
4IZTrv+LjgWsJelbNLZ3LKY3cqfeDT10iiBsZK9tVIUZjhofMHhgZARetAyNbKbvjIHRjLHuarrk
Q6RU5Ity1NTL/8feeSxHjmxb9l96jmvQYtCTQEiGpBYTGFNBO7RDfP1byFIkK19m1+1pzcosi3Qi
gIAfP2fvtWN9dmJi6fdMNEV9eJWnTUDysf5KO8eCeTbGZ8fQewA65np083XXNiSDjHHmW734NDbF
WpcxbnpSlb02XYUR9zPJxuyMIAhcR75581L7wQj7Qyfmu8IPFRQ9GHu2czNzf9dXK42BEGXF085Z
fp+aXyxQMb9qgP9gCSKSyKlQeUeqDG3eLzGW4dAAIzHPHEu69DKWd8L7d4/6zY01d91/vkeVRfOD
bs/8c39sU/j7DRWEJr0ediui+t5sU2SI0Mn5bfv6juj9Q6aBhhUjlvZnRCDPxV+7FKZ+tjT0DiY1
N378PxQrvz9vv6lofqwwNT7oHWn20NKk4Qh/wEAzwhPy/vFIaiXVnUmPzrkKZ+4YIfF+GTSVMseq
hQgv6POtq6mr7Bc7MnuakYpAj98PSv9cT07z4EVmcet5sTX5RHr3xdoQTvvYGJ2GUxa7/cqOaASY
sfIw6Lx8hpDsnEzXU18f7ItLsFsXaudO2nccV2aoyqseBSbftBu7cfMVcXBAgfKYFygOdS21V4MM
lp1SX9FVh0hEWcd0VUIpUsfXtKoZA/SQFBnSwq2mecGs1M2wELjrTMhhoQjHRTLp7cywrheyD7Zl
bt+Y0rrJY1tbpgZTwWA4TW4dLj3JviSq29LQXyI3IacrYK8QIukWGMSmjRt7uY+Gga6Tad0ktnOQ
boPIkhBhW2SHvC7gq6cYowPk/WbjkFVUw5HK+9L1yym9kVV5X5lTeTRq8oMmgS2VkhNwWT42i96U
+CkyyJUtxDF/EGF2IJyJgJXyybAr6TeaWi47tf46NfUIvHDIVm7TbbMm2aiIYjX8xKXjJFh2Pd80
24E4Y32NWRPkZMJnQFRD74fStbax4L9MOXQL4RUPgtYIxtFr14yWbpl91tLozi5AmbRtYh4CK9iB
fbyOS7oJ0nLI+cpR64Zk9IVzbgpelJvItu/MmjxhZiBf7ELsJyQe5egyYlddZvrCgXIui4RksGEv
ELi2MzTdLMQmixUm52Y3+a0mQTGKh8QGvmXbfbzGW7yyy/YW6HjvKz1VAC2utVk58tTN2AJnbNCw
1uauTe38ASnGsKzT7noC1bywjOgkpo6yRlEhMIzdfT0mnwLZM7uIUPpzbFw7tfsIMfvJCUJfpyDJ
8pDj4/xnqPJGGd11FUznLI1xr+trL7jwsBYnsD2HzEsv02i/xDZOeZFO2roeYuz2GLqJtBj3rc1j
p1nJodALNr+aP1xxHxUnUhatRRyZlsADUup4nfbpySrzs+EBp/bsi2xw7XMEY+DqmGvFqF7Im19G
ln6ft1m4sAsStqR9HuPeYP+nNPEYt8uK4jFo7tzE+WQrw7G2u696kN81rbPTHPuQyFTbqZFDRE7G
Ec4quA+0IL5kWs9XbMJi5w4ZDEdhn7n4GdoePVU1EF1Nzc96oF0YMa1xVnxSlMB3Z5K9E4F6zI38
0naFiwmZsjNvxWNkM1Zg29QXigoRR8k6eELRSM+C9rfv5Pkrnr101Y7ZtdYET/TqRh/ras3c0tx6
7nTIRHvsNA53nfkMt+6VavJqsli016+TMl5mgbeLyvbckIJmGuYWMmC6joPs2FHbL4TpivWYCsBp
c4AozebRiq48Qnj3sVaLa6SXQXM1SG0WUwi5yHVjInKzQt2SuI9dThZcWOQaJneUBbDUgDQhd2B6
LgriSQZTvwyjecUMRTtFfLF87rl1Fg6ViSWRqdqtMzxOlQhvak3L9hD5rU3LR7DqMyXbaiBHF4Sr
Owa66SBUF9Juo22rGLg7mWYily5Vba0kyMv/PUp+N5zojEl+sk0XP/L+zT/z5xbNyQ+kJJJVndPf
nAb050mS3ZtZiDUr8ZnLaLOb+Y89muRfRmds7Ugtfxdg/rVHQ7engQeB55/7TOBwswe/G8i47NI2
hTUATGeeC73fo5uJUr+zOvtEq3A6gMCDTgWzMqrMJbw6yVFmCjrkFwqRONnSbQl+OI4qBMNVFye0
RVuyQI7MM9R8RnKxRujTq1LMVaB0ZuKtQqYPAixbb9ER7dukCx/7DnQIrcLQhJyTIk4sdw1AunLh
Scse8F844BQiBXSVA+XR70jC5LCD9ARWSjvvsk0jWwh1CEZAfYAiDJUGt4B6lwj9WAsbjWKOlG1U
byjJQYFoA/4C+oVlke9FFRy0fngA9shL2GGHKct805U73srY20Kc1bGdxD75iLS8BgdCh8vJpwsm
RDDD9Jg73kVTZQcXBohl16QAiqCEMA8tKa/xTYjxiz60wzLu5FM7WBxwwmyfx6q15Ax+aQoxwsqU
6F86j8m6rFoiM6ZhCfAuw+koSLHFhA1WWF8hgIN+2NHn6l35BSjfHtoFp9E6IC8w0L4MQ1kgnGzW
SEO3sVVlfq5lB8hlpR/X9QMqUcKeqv5ALk3ny1jihCuMW4UdqXI6fR2kAcRHkEsB8cQ7M2LmNJjF
KdGLGxzTfuCU+5gTfITBcSHZLzSHJNsu+wQ1kPIhkhDBeL1kKdFqJk2GMrwyg3xVly70h4Cju94O
CWVGka7d0YH7Y7THXGEPS7NZnIVYUQvDRwhoiU+3HeIEnMSlYoeXwUGnhFfQ16r2SnaQ/yq1fgyL
uVOXWntyGm7bcFiRHSwRGRIAJZKbUMhDbBnL1GGaY9tTDN0E0l3JAW5bp0Hkq9hKVKtwcKQaX4tM
a7Ya1TcNjOJkaaLdRAY7rJHeO5b9kCcVvr7qrEQlzkMv1cG/kJ3uZgm8o/yhd3BUIsPtVONZLbti
6fAGln12O6TWDnLLuLCDCKaxi7ZrbBK4Paoe7RGegTD3Jiz5ff8oyLtfJnr7OAT9g2Y2d2bDaRoE
wAbs5jlpLPCX7sK0WgAlmJJgLfV+50DIq1KSEFz4H0bb3QYJ/ZQi0To0ueEubMxwW7XVDTaa59QN
X4hKjtGEQTP0aCGCFzc131S7exmrNuUuatrCjq4Upbgit+NVUJgSpFPpvl5ot+iR1nFt3pWNulEM
EivVuF8MsXHLpNhduhHZs8agnMjwOcZOCQUujddDnD2CgxcbmOqveTgNW+jr207WJj1n1/OFwqZp
5FmxblvxDNYThuWs8M2Gyd170D2XpK1tQnWq54ztdd7DZgl0zvboze2FrfTkb49nTTO/1hmI+aKu
TpSh9wX88SsaPtnK1oavaezdJCYjVtvAp6xlAw7hafzWS6pGKdEvBqFu+qjKKZSbWaDpIFoKsu4W
HRKPDppzgKkKrKoyHv1qLCzfLKJtGg6vdtSKVWsLsRpsj1KgOmqKSZd+oN01AESoZ9SPhU0a/cO3
GgYQsbDbkXAc8R0OBCXImXFBJdwgdQYIuYMCRazjiDDo5i6Ep7AgjHvuLSVHDSEnwdKbESIRGvjr
pA72eZbsora6DSIIlzPCCADXYYRpZCvlXTlDjoyRMkKdwUfejECqZxgSU1J4jeCREjhJYgYmMU3j
O0vnwgqAKfWIWv1Y9g/eDFrqCoXv9AxfguT+PMw4JtCgpIoDaAJQUNA005H3joyr+q/9DHMiBSFe
idHcR3b+PMCw3Whed5v1rY68tnj4TgA3Gvp2TDSiEIvvmDoqYw9rpzbFZ083X6Za/SY1HgYqw7uy
5oahCDKWVtY2vCIEXqPcuUiwbHDANfA+DJeyTJ4sJb3hUlH1RucJ4vraMmdxlMQ8N4EqQ9BgMNNU
d8S8x7QI3WFn9tatXgZPkYOiss7ir3nfYK02e4rofhLbJpX3hphhvc4wcQqt5yD5f6uk36okFCM/
qZK+ii/F5/iHpRI/+EephCWXqEOyaKh6OBC9wyQQHqTjNvEYddJrmpWWv5dKaFdUOk+0wWmyUV7N
8R9/lEpUUUipVLy88A//SSvDsj/oxGimzWBwijGXvr/jfRRiOkRluEBalLOmZEgTOFuq5vQ16BkU
pVZmLzoDC62WrOtxZmCqTBBvvDqH0upIhaGuUwjnJoR45hJtMRrLrtHqRwBnzvjZUjhdMqjPF/pM
5SfXBlI/KdWbsOn5LzosG4b6zPxmov/QxgPgbcVb15r+JMpU/RxWJABU+lCui4hUgL4jn0DOSQFt
wf9rzOkBXarXL+X3RIE5W2CKpHXVC+cqSWoUACBlrIjOfkMkQad3n/IBsKmc0wpo2wJwmVuyBBlg
OEbP4lgrjlHy5M5pB/k8MCWYz9jUI/Eb45yKUKeoDAu0/8bopSuXdsZCn1MUJmTblATNJWkEp8qx
zZ5pEYy3msamAf66UdJTXIXRkrnHNQgGakZdo9KkweNygAQF/bmJ+7XtMsgw24whvyTxwZmzH1qn
j6+EM+dBzMkQvIfVVfM9LoJSqefYSYaELPFhcFuUszknTFhETSRtYfhtbF5VcwpFKgt0NRxuN6Ix
0+uBsIpiTq3w5vyKgOPYuEinKV5zUCZHxTdERhpMQuhFPcdfTN+TMIbBdJdQ9sjHSCKiZRcE0Aa3
FstuZJKU6ooHW+xELaEpNCRXBLbiHmOzR+cMm+KIu7VhMKjNE0Kti56zeWYYMTwMccXhT4Soxozp
OdXacBUwaqQZk/uMZg/EUecQK8ZzNs8lIwaU0WQtEa225zGHyZfPU0yzdgFeCMo8Rdq7ep516vPU
UyYjwXpUVzpDUXOejHo1iLjB6qhAxp5A0Lgre/6AVu+Ye9ey182jtErlajQc8kpg8VwsqwG9VjNo
VpsFRa+vNynS0iRrD3XlwankQTsDpLHXdWWhQzI56ioFMIUaKS2y+25jRNnL3MNvVeYRI7kqVz20
7UUmQ403e+CeSOJZK7n3RVeag53k10UHQVgxjk3poLrWlfI0KvG4022SPVFXbBWLWUjO3OJOTYJg
5bpfW2XYxxnydNM5jBFUEPj6m2oYVzb4Oa757I7iYOX5yySVvaXFhzwCXhZ3VnAULltibpfkuUfh
bTQOITyNbFcj20orbpIb0THpYyTaSLwWQA1fww7fdGvHZwK8JdMvWhZKK3Pf9Spfs7Od11ort65f
8xoIEN4N8O7fbIIFO7AU9D7XIIZ9VTIyCHWGX8wRojLZOdLce5BMegzU88mL8faQ3bsgTWht3dtS
dXlIvcIGp+rZV4E7fSsr7caaup3TQXHO85VNueKr0bBn+/QTKV8j20ASJ1dNiOUlAQvcpOLGLfQv
HiUknBDja+uNNyYc6mVelQS+T2slNeG7Gz7yesJv8CTgI/DlpALsCPLPYIju+vl51NJkV3fRZSoQ
7iCBIAVohwBp6+SFz4uU9oulXudiOI3V6Os4TkTQLRWKUBKnN7TUtsB0/LxMEMYNa8WanRp6/Nl2
kXYoZCuSR5NGzmosi7MoVXcl1GKjtaQNccK86ChvYhluB4pVQhYPsEzXYxbDmtMpQAYKu/wbgDM/
oCjn1O4HbUZR+bUIupsBG1viqtuRmhOs9ZNVYciYjKVmsgazLzPQz2j1b5vWRsVhAeIbqOC8uyyZ
9KWXEY9SAB7Jzdr3Ao8nMEAL46hr18u/jahiecOtgb3CgXaXtgsHP2yiHcO47TDVT6rW0ohyb227
fHKj5iaUmEvzLwJraKWqeM4GbeEY8Tq2y3UTjLP/nNjN0Q+N6Jq8h2MhjRtacuQbcBav1QXiqEWp
qlvFk1u3gZ0dZbeJVRxaS7unAbxwAioc2yo5q8t9o3ZrvoqnxnPXmtFcGcHIgtUqLPnABkEWfcVR
hDb/574rnvhV0G0hmIyNySkpiaolUHt/FP1rIxomiso+a4sdagoOJ060kHW6jojhW0RlUJFqN3Km
th3yGeRj3omXllCpsXR2gIrgehHuVLT1VrhUiYRkLiYLrH4in/pafSxqlIsgtQNzoCfX8dnRYxAt
yhqLp9PZoG6/Jpt4X+KKkQqlaOxs3SE4Exq3E2Z+JQONEAIU7aKL13k2Xspg5h72i7J3qbO9g6EN
zyWH8bFmwKp77n1Q29cN0jDRWDdEJKkLV2tuO8ZpsqTARvi3EFZ2yKzwirGjuujB8Nbzi2oqnsa0
3eu1tSnLWc/YM8Xo/aaflQYCGqO4n0PyNL3YK7oZnZWAISqcuuy2gdvlT3p7VeMVmDj7SSLEFCX5
QsF7n7Q5wESsPQsPkQ69Jfra6TIpEBPG2hc7Z3jZVk9pHe1UXTvzvoWPVqeoAZo9GH++l5mT+pOq
PUdWU649I73La9gK1ZBuUkO7wBQi6ANVkih6Y81BaRuguu11JV/FU+FLXK9O2Ie+NurLNMNJFInL
ENqbJBhQnI5fSgWXZJO8tnQx5gB2vgEgixLprLouXNWkv/oKFULadn6esUkM6Fql4gIesdZNzPlP
OutYHVYMZXn/NMA8w2FaD7nYj224r1tQD1BNFzV6MNHQxY4JQYmIOBW6ybMOntJk+K4VxFa0x4lB
UlOXnzt3Nn01Hge94ShNJtK5yvb3pqT9fxq3WkiPdRtc7uwjmEXZb20MgD3quouFclZzeL0czNMb
Be7lzxd5L5/GEUAZilWBmbNBHhRm6/eLgJpWbWjfynlwP9Uwb7vnoSAgaZmD2/v5Sj8qeN+uNP8l
bzxARVCM2hSwku4Sx0tT2dFW07Qr7Ieke4kL+xcukL9Pkrkwvk14rWmZo655v5yOyNUNsiK8SOWl
7fZV+Flkn//5FVEtUyyzDBGhH5YIONap3lhGF2mSD7fpxnGVRSgkwk2MeERvTz9f7gdXRBAMhxbG
78w+P6aQzthnfVTb+BILPD4G/D4S1NNfXBPd4zfd2+/Pw7tF5n9/c5eaQGktO2CRhJljWx+IAV3+
/13GfJlvVpDtxKAIQsGlLo82nr6UcGGQ2T9fhDn1Ty/jw60p0zEtZd7ElwFGC30zL76QicML7tli
BIoql6SIn6/4o7sDbp2GN4QlC5LB+8tKY/JnBLL+i1NdQzBD/b1zgm//fA0DtileDJ4DVO/v1wgs
g/ASWScX0USr3CYhjszk7P7ni/zoozPw2zBj14hW+kgXKfrIceJ4SLg/z8I+RJwUE14GXkCE+N4E
G9kH1z9fcX6m/poY/PbMvV3xw83CiIBbWBvByqP1kc0j8Z6/eBnMaaJvlmAiAiLCARarIxuw+b5+
ePk0Be3oaNDyS3JAgrZj8zwS4biyrqMbyxereI2ee/3zq3q/5N+v6sOSBAbkA5jN5CJt7IFMaHUy
QfRi+/NVfvzZIYdQ2Tmhe314JOwJRmSLB/ISVJ6vQxB32198dvOn//HuEPfA0+YhzUFv9P6hKxs9
JlRBSS4OR1+ALVSbLzEhXWGS/OJafvSJvV3JeL8SJ+KiZvCbXDRae+61FdxW0y9ebz9eAialRnA0
2rQPj1qspdI1pzC9CHG28OUNsb6gZfqLre5HXyEetj9X+XDr01pG7RiySpx+zhRs0Mqqpp/I1CRt
L0q6yaxf3KO/XRZ4YmibhOayFaHe/FAq6B7DldwpsksrN1X90turarr5hw/ahyVos719bcMD4gON
CLSjs7nQlHA5QrX6b5aYI0Igsnj02d4vkQxDrmSctC5N9lmZdkgpfrHA3x5lrsE1mZxS0uCxtuYS
5c3Ww6vT6TUx5RfqvLwj5yPZxYA88AN9v5B/ZdA0PX/WlS1E+xXuBg3Y74Sh3Zf/+39+l6bxc382
ZUlahGjogIv+Pr7mjfanElr7DzAfbr9t29ZvXO8/5tf2fzzNQ3Y4OwYdftsfHVnrPyiqPbarWV3G
N+4fdWVJiuYJ+Otlh8AMqi4WM0RrSBCB4X745uZlZlKmuvYpNya5LvFQLQvVeXZcghCd7lFv7ft0
ug7m9LdKW+mVe9214X2QTalP8wrnHyenSoxH1Cuh8tno0/tc4UyrGXWyGWvxyW5ppiL13JV5gmlH
ML7pCvq8NenDOAB9BL0vClGFn7SW0CsjyPoVw6eAEJWErATcOyR9XYmeKjMxoseco7cYveeJ43lW
urXfx9XrmKTXXmS81rb2NEh8S7RojsDtC3/EhrQsq2TfdfQ8rbyQj6PqvuByivei1IKV1hNDrJbJ
fdplL+roTDt4prsAwjVt0mk7VfqLbPITjkR/tB3ce5sUOnjl4VK3kv6+i+JnN1a2vVo8NrUSXjl6
ufQa08+FPGkJeIxsPA1jfJplU9VYz9E50ZcCYQwzfXI17P7kzQqhItZ3ZrGmcb3AWgI953Y2ndPC
atPnSsdLxJ+4mbMSF2ivlplJ46G1MKqkic7h2gwWGBGbLR404Qe9wUFSOdh50W+L1pF4z7tVXyS0
wOwDKRLT2iQSx5dZtq2K7EvN0W/Z6g3Kp1rd1PYU+ZbsLqPrbdWEBo4aSLGJBE2smD5vJlgPu1Jj
EcvpOfUndRpjbHNUTe60LDi0DjZ+OYJZDhyvz1npnfLSXNoJGG9iQA59OJOHnSWZa0BfTVpimWoR
ijBrj0LaXL7dS0JmU1AYmdNgYovbnCTbkoct9uif5oRatM4rrVOyx1Apdw0dKNTec+P/unfsxndm
n2llfB71pPLNKrkRGkqGiDunlMa9BdG7yrN6xUbpHipF22VucSyT4QUx/kPUNJ/gA6A47sdgOeF9
ZTbcJbCRGRenSbuTY1ssJfAmohvnwAuyeeMovw4a0/BTOWxzrS3WNTKQBaKzfpHCWNTjhEQSOpMo
r4uyPJsQbVNkk5aW0ZujyQeigY5aZtwmk3iBbLVvtf5YTDpQ8lZcEd5yUAlQ13O4PZla7lzpfkqa
cOdFIQFEOgmMQBn6Jr4tO+WeQ+VOFcVVB3egsO1dSnYzCq8X0WT3dlrxoU79wTTqPfjmYydRxdOZ
us5yuRmC+GAS1Cimflt6xU6bt+/R3NJsuwpNGpP1aOxLKCd9o17UyMzW3VQzCW6feodJcmNODLvb
c9nh5hwn56r29BsrLvdpjAMxHTGIZjlYTAlsRa2PYenQcpSMI0jDZsBx2xTNI4PKfTAkxy4yl1E4
3gg1Q5XIlz7NojVb42OYOhsrLMhIjd0dcTQbW/ZzznF7NIQX+6iArk06pAzGrnNFInxUwVl39Y6A
7id1gLqA7zFbenp300fWoSMUYAHJB+/alD+hPds6HRPUsV3qw4RkhjGCkdkvk+tteqVftR7D81g+
CzTzjaV+mzBcEgiFIgSBXKxSiC+ciYDHGx2enZ+5faav3cLi3TcYxhWZRzCn7GzvhR0U53Q3tF27
UDAlRlF0NmW2D8KxX9CCOva4WFexJz7JGJ8u/r+TonqbqvBONW4wFHbDOq9UbQUQ9iGG0DkA4TJS
BYdEcjvNtxBB8yccznwbwxVa+r0WKo+DKs/Q1U8qrMbIdsg9GvtXXUGcEpchLegKXUTLvag1ay26
MN5Ubv6CT/w4eoiS2rjepkWySUXZLxtbe6CvfFU1chFFZCY1yrVEnuvr5p0TdqBFpk9J5txOVhse
hFWVOzUMbspcHJXZ6xJU2cqcrBdsaRtHDxamgdAzacFO9fWgb1OERroefk2Z20PWKdT96IwHpNj6
WtNKa0266wbENZncWVQiUqbZbYfqtsm7p6aPbysEWGMX3gV1sxUKgqOhdx9EH2+45juy6x/bKpK7
wbykKQ0/Vfp6YmPDzIeNZRbnvg3vYnVqlq4ttwoUlHaCG9rY11OmbevQ46PRzkpVi0VEW1l2+m2a
FfDXNaykLmbuhdT669Kwj03Gfr/KGkXPVl1fxQ9WHre8/G1nrwsmQLmbyXVU2SQrMOKKXcm3E+UY
s8yFXXNJ41huGeNvnFB4F+SyLmMYKVaTEgMskhUANIluVXb5J2ykK9MWyZodhkkX0vRlqeOCZOJm
Fe02iEj3GWaXciE9eZVkA8hcZfwm6oaJJQFZ6Qh7xkhqbWHHuHmsLHuETa6jo7Jr2tHoNLWocRSC
RG0csnl4YHBSnkWltU8JDkeyLaZaWXdub103vZjo305MMHv4BDHRGKa2KvsJHrimHBiSXkE1uuhu
ujaHZOXo00NeBTdhVe+7SmfAawhfz4hCJ4D1KeitZO6SrmqtARySYvE2UaQabftJJoRLpO6zGRhH
2TOxQ28K5mvdBhZNouaOdv24dJ3olTfrg2rUW0bMZ9UavgaJsSdryYJ+R0M3RovRKMZTOVl7J86P
wAoNdAs5IXB0ikva3B1bdD0y9rFrcADIzzKCS9smjQmymHZlaB+sId5qNUC1tNzlHoSVQk2XsYPh
yU6Ma6/Pb1v8YrIYATYJcSeg5CAYS/dIgXaqqhw99ESUQht9qHZt4G2UNNqFTrUPy/bRNg2SK7Wr
2mCnNVyIcOVn5EoQ68PrIaBSGJk6TEG0qtEoWVX7NSduWBHCb3joBoh/nZd9tg0VhJwndoUa3wBh
WMFJ9z0T1aGRk0o1qLdNqsx4A0XxwRsuRidcgWRaBxKF/ext6ryGRHptm3f6EwdJP0u0YW3h3TeQ
yVJaVAsoeBVv9/QpMzqfYCcwsLW+8lLOml2YAZ5KHsju2BjudFElrMS01e7GXlsbSflYQAFnqAZu
SpHxl6AuJGEAfbdqI+PUW+opCI2XQW3tFYeWlUkwaELusherHvBpOJHp9LUcrVNbalxxz6TU1nlY
wqK30PuhO4zGUlsFo+2eC624EiYqr8y18b6p15mpHLIW65MSGuumYdwcWBES/4bWM67yZ6tnpuvx
pqFDPxyGwWWw1hePgzVdl4r9rOtJsC7j6kllWAJktVunjSS2vOGq3UDbYizG1sT4TxZetA3rLPGt
Mj2WTGBT7NlnhbDhUgurpc5oblnVOfqdgcSVEb848vxvI2AITVa3YTxgyJ/yHUouItjaDrbfvGtb
5tOg8UVLVPhD9cCUrBrNk5bGJ4TqvpmY0c6JpuZQMnnBrWE8kmwcXvV1cO012TPTdHM7f90BG9Ln
EuzmnOCNZzdCwl+a16g744NnCLJNy11Yqnc6mWVTYamM8wjPVguM8+mhClWSSk1YHVb+rXPhIsBC
RWLk3qVtcRWju0oRacqsJ0lFb59GrbrxBkJ1RemcEi085fgfMAePe5xiD1XmPZuDcUN3u9hbRiJW
Hd63td6az1Pu7TxIeX6ixijjJL9YqbQ1VAlMFMKUWyKokV6g5CAB0cxV43bQEp1jRF2joQVNaeoI
JA1bWelaDBX7n3UiTA51tmcDPmKPR0CjfjhA6bGqDrou4nNScrAWx2YaFp55++ZYefntPPYWk/bh
HP/7IvA0saIxjvsoMU4DaKZK08QkeO8UcVQJFVLMu7a/+/kyH3prvy3jYIgB6T/LED80iwJV9TgF
qBTu+re+uFeMXwx4fvD7HYYTAHTmzo318bNqvNEuoMxkZ9HzoG3d4PUf//0wk3Q+IT6oWbf0vt0R
OrNs1qrys8u5A4LK7066/5VW92Gi87fP58O9BlKpIarm8yFwTsn9FDuJA958MXzNkuXPL+UHS8Ee
suf2jUWf0/twKzIXFWcPPOGsJlumba26KJG3mj7bMAD1n681/9l/9QBwmNHmfHtb6Da87RKpWpxL
x86yc2n4qCKB2vDV4p06yvXPF/rRRb1d6MNFCSfxGFL9thBaZWjAQ7RmH5m34vIXz9r8R3+8KG+e
8s1gQUPX55blm9aXYQGmZ+MV58ZYB9mrHFZW8Pnnl/Ojx/nNEh8ft6mxqJUsVZyF+5oEz6byXzzO
szXdMWebvPW9d/PmEgCDWK2p6BAdeAMiq83G/+LlhbBPJTgJ5JVh6/r7D0kogvre1orz5Lz2zqmb
dfjtL95dP7rpPMSOxXyFweqsSXx7Iwh+LcXoTvkZ/QJKqlkHb11LgDYYGIxfPMk/WMtVuQxdIwSA
YY7xfq0ocGmyJZY4R/OZegVIMYJ8WqF03ug332/+vy1Pkw/1fxei3ravIm6y1675e9Nz/sk3Tc8Z
n8ZegssGjBpfvzdNT5N/0hlRGZh3bB66P5qepHLNYdb0ScHVzN3Nv/qezn/m7iRMU4P99h8ba433
E4vZWAsalz8BIiisCVOdn6Q33y3FVYy0HrLi3MEQmo6JXsIp10w10Vdtm2cXB2RIi77CwvZXXeCK
fDbDiOOInt9JLSOuScsPlV4/4zS8yhpxE+cxQHC9WBhJcHQt60hkaOoLp9+EBsU0KdMMFvtH9Olf
vRi1YiH1pp/hYde00tbEngJfAO/SBVG61M0OXEGbHNtOWUAAh6dpSKF9IhiEfMU+zNY95lCsgo5R
x1d6arch0CgF2YYqPUg7eWkkNrAs1SA2WpY7J3byTeV4VzbHM/POCFqHqJS8T7ql52FAONRJ3Dwn
fSCWHUwFHeSCTPB5dkjnIaFDZfdgjq0AgSt0N906wTHiAFSpalosq5zxMEaffvjU2Tl6ukw8OqXV
+W3Ub1zCTTeE2b6WQREsnb4arhM369dz/4l4sgqVIziakvNYNUEUjiACFYG819XgQamnXesoN9LJ
fSH7nTmKpVTaw9BbBChwandL268z/QYHxCscHPi7nFOLtjt2jhDkz1JfRA6NK0+7kZ2yszV9JYLq
5IblN93A6av0W0rIK+yL2zCoDqEnTrk+nLqCrubY3HhRtqU7cJ8CzYkAhgZkrNuRJLojK2+zcqI7
gc+xVDe91dzULeLAod8ltom/ia6p5756bnOVcZqBckNdnHjfhFaszMw+GZxwesIRzXJC/Nlw8mwu
GFKf62ZazirDEuqNcKLTVFDIjCNBKYCAGnPbDPrj1BdHyVEAgtaJe+mXSb/2ouiUBMWpMbw95Q/Q
hPZ/2DuT7biNrOu+Sr1AeKENANNEIhsmkz0pkRMsUSTR9308/b8hlWypbH//8tyDGpRt2hSZQMQ9
95x9LlI73ddSe4HSuqOb81yb/WtU4Utaf/WR4z2QFvMTYA9g3C71seuZ9LSrwYi3S5NetUhozQIE
Q4lHOzaPebr+hgnqgMc+drq7cXF/eWHz7lmdP5b5J9xrj5UW3/Wx2IW1fWlaLvyJ4kpLRxTKRb+c
rPl15JvAPkuQu9QvwxEOmaP7bdxfRg6BymQ+TXN8rDpwe+7SvreOcTd68127QF4Oo9G+Jcq2T+QU
X8nQOi+2wYlCy/qxyHIadUBLmOTf6Dzf2HNzjccHqYKP1ECJZT52wkdsp6Gs896WaL7CE7e1CvPS
SRimm15uZ0QEJHFnazbNSw9nXbSmBIoU7ucG56MwQ1IW+XnyuLC4xfCQQaMyxRp1sfouMCqV4Nbk
9DQLfMIibme/HkUZGLF+phP5ziJN4iMCQp+e+Y2PqXeT1mLf0f3OwrwCCZgJX3RMRJRin4n47enR
9G2vwoBITpBPB78tw+g33tDdkNZZ/NIC0m9SkhYv3WmN4COPXJqN2EO3wilBsMdgrJ6a4mttFfwy
lNgahDW2aYiDMOnlrZ27x6pPzW1bkZ4vM/KsoZp7YlMDBcgGu/WYZHGa1JdFkg+M7cIvjOpzj3lr
sxj4VUWhrgbdPM9Z8ibNBueuaxyw5EH+S4jSAGS8k6Xx1OOjFXZ0cMWQ73IM7j7qx9nGw0/TFG8A
NqC0JtXlsDWacNjgUm926bBcVo0+EUFKrsFfP45ykH4czw+RtPm8g1csBYB3NwO2wo8mbgrAaEC0
vbEosb7EHskvMV2S1stPsQ1b/t+z/3sIhRv535/9V19qbrB/WnXyNb+f+gaAVJ350cFHY3nrffL3
U9+gEEVCLGVlv7q5OJD/OPWBbwCEYkPKCpKbwR+nvvubblNCDF3YJqGiUcf1T3Aa30rf/hgKOPXX
fSoTCAkI0r+QpH499dumKywbVPJ1XdM6qCMvcD7QRFhTSainzT5cz/m1qzCsh1eN8sJEzlCfqDPs
7DAnOyj4iMENtJezrXBX2njNDT6CxP6Sa5nkuyV0b7S1LRFp3ggafMwZRYqTaV9WFCu6FCwOqYGY
CPvCpSiZ1iQAnz11jNKml5EY/buQJd2/HjaxtbvRkYDdxNrn6DZ2sBjEv+Ak7AsqHzUbDltNCaRT
mzeIftf22g45tOWIA5fKyEwu+3DOeFpt7zanVDJCGipt/NyLTSQkymmeXKignNYuSqVopSy/9VPa
416tjZXmEPmCCksES20XzbRaspyNWYRQxYn9vL4YtCgLDPCuAD0cb5vFjZ/kPJ5N/hpBc+9xpLHd
6vYD7XUZrNB0PyuicI5GPceUHeCXBHPUA9bs4m1r5fqR0pETbNvkQhf2RcieF/w9LM4wY5uYUdTg
TfK+0RMJGqjlRUW3PNCh1rp2c3ksp0HbwN0DKNHZ+ZHV3JWEi2SWZe93ffhCAdpDKrBDJ8I8WEv4
zp2w3BS4hF1PFtuOdS5eJQAfwrIOVRxyzmeF9sAeFJP3bB/Rb+etFdV3IAMOhFQcP7bJHESqa/wq
6ULMG6MGiIHOljoFu4oUGKg4WYImJNlIDenXVkecHRvgp71Qxp3XcI4qOwOZRFu8gIy1Fb2u7cZJ
8zJGPaMgzRKWR0lX6SFytcmfhJsda9eGKGlRJmfxIkaXSvd9ZefNoe2iKrx3J1dc6DJ+i0RVU8eX
eReK65VPZfGxbaIHVrVkVHvjYIma6y3SahcPdjBCWXTHsjqVbktfaPFRzUB4LTWdtHn8XHeshogE
Pw0Gr/mEhLw/hvXnsXM1KIHqcijny6LQLL9101vVu6NfVREdDfaZSCyPhHjqJ13zLSphuGfzXUfW
tdNF+8ElmZIQjiYuVG28rNuTW7/MJfEtzetfKFi8HrXskTMX9wpwk8hoyAkvrIRTvUmCNq26XRKX
NCZk5zgSFF5FcaB53rnMvUPPcO5PjnhLwuSRNsPGj0QUb1JDezOT+mnM3K1YGZwtgbovY2sHQhfP
o8VKY+rpyuPYx6Ats1uZWS+42k6d7rw5qjshu18pnWxqoqxNV9nXc1UZ57It9rnGbqt25MmcW59K
B43Ef3w3RhqnZ7K8GM5DJgJrcU91kuw8+KTULnEtKGHPJyMAmj7Lb8mzCeLD7XMt+ruUrh4yv+om
hgXqS7PfmpT5FkkaCCEPag23ASAj5dJizCY8u1l7gh3PI+WSXScFnj+L3zrH/ml0ZkaEQr14cux3
fdH60j2wRqNyQKQRnMjmcpjU0auTVxJN1FPoOjiUydvUSXrf5/arB9GUljd6zcvGeYpEX/p6EfIQ
V1SLmXEfFA3vwo2n8nnffStz/ffE/X7iIsb9Hyfu+/jl7a/OXL7q9zN3jW9imyfUiYRjrnz+389c
nYZWTcM9bVGu4ax+7R9nrvcbg7l0HcQSjR4w/acz1+PfZ+u8IYmR/tPYp2n+Ki5+O3KRkm0PCROX
E9/Fr0cuvR61aYfJcp2UN+bicHSEbLrn3nucFaUE2kJPiWeUl67K79zFel3qXPgOmANQd9TLL0kH
xqb3LrrMuzY1lMJZyFfI5+d88J6Uah7NqfwgGLFrhKw3CYbnvC5qAMbS8Akl7zWjuCSHQQIkHD0C
iGyWNKjcOdIrBpzsSUZS7UxU6Y1OrIbmaEDohv05y/mYL+pVhFST8Ro9TM3wmCX9TetZVwk7nj0z
3n2RzVRbzdFVOPYX1TTCLBfdSXe5Q88w/Yq54s+stinlV407HAc33qFuhMTEyl0Zi09DzTqOMx1J
5ArJd6cAdG9hMIG6LTvSAtOwBTywa1wypyaYKN3S30A9XHeZLjdR0iz3ShTktEIIgHUHEHvm/EvN
hIPbgshXipQ2Kfu5ULQAySl0gjnR8gunSrxtM+ndVoB4B+GRbgH64itaa4wWbiaTpzamTqKfbBj7
QPuJtD1wxAieAUuxgUN7M9gVGZJZ4kp61KeJtQpZ1IaWp6bX4iBP+7HF+RSlHDdxlFvbsMLx04zJ
Jbv1IOuWvZbPBzWNMhgIzm3SKNrPmjVSSBqCISJdZTm03RK7fK9T+5xrnbfBSP+iLG5rxAJY7oXD
Y1+WLwm5s9AmgYooY1vdcRkGut+clBVseQDCKYI4q+2N7oxnT6sQ7TGy0B7+abHkRVHjLCrs5Qvg
9ebRKsiLFRYn/AhmdzoOgMXnNA0hg4SQSpLwgAsdanljnpYh0zeeIG61CKjCqnCfxEgOUTZiN3kG
6WXKx1cygxtOR+XRKElJuwTDWwIuWyeXpt4nCShqzVE3pREiiJDdEXhz23Z4Umzhc9v4qEx+Zrzg
P2sutrcweyQG9hwV7c0ck8ifexcdRn3u2hKCOogFzDOUgeMeKef+ohjohDNS9ZmWWIijzZd+SQKk
txMki62e1M8ymfptaGKLof8bZ1CbP3BcPMaI2pt6sDq+texEEjmoATZveue58Vg6t4M8t7Vzp+ha
18zwk07QdK8tBGSH4cV2ozsQpztHL68J31zPtebxjCkDpAq8l0aWlyobrwwz2mXlWwavY2CbF3RT
uK+SSdt4uQWbw15uEmCQrsb07tE4xn+7+6xoMvJDaXwpwrD0bS3rfa2zaL2JjA3RxAepuDTMVe4w
BjoPkPFOBMmelRufc2++NQ3mYi0DOt54b2GhHQrP5WMEER8PBR/AcM0ezkGYGu92atU8UPoDH+PP
Tk/Jl4600icE2DzzzVNLG6RiuqlC7B5Fp1s+NAyK4ULG3lwyd7o9Xgo7m/MbdIu7DN7ZuoamQGqk
k6ZYdBh10nudw/4LssVNqLcgbBw73HaTBkxmaTyuNfapdjvrRpmwpSGulrdAbtL7utS/hotp4DZQ
j6qqLk0Vveo4BIZ8WA5F6Imgz4yruI/oda/jjrgm9g2kg/eqdlQwwAKDulavkd6Gg733+AmQf+Nd
lLd+aLWXSndOvaFfJIN+jOP+rsVlgv5gHqWyruZBnKqCP2WSNVvozhrOD2FRaBZt07hA5HKs7xuw
fwX29YT++yP/mvL16P0vxuyfxHXKRa0VbgVLxbV02kX+OPIpF+UQsA1Od1RmS/40ZpvUjjoSkjt8
CPy+P5eLmr8h1kv+x792pTUb/2TMRpfnTP95zGZcZ2BHxYeDSajG/Z+VTyNBtk6OFp4RX+PAVHnm
+frghScxN9qpdLqRIgBtGV6sNL5IwuWZVm1FiUj61RwpIINpOTnQ/zAmBo2JxKfVTR3MacJVFYZW
9QRTkrI2OBddtHpHmZBBqBq8tM32i0Ub3Xs/aGG7M0qbA6ljDiix4ZS8H3cxyK0m6PMOgStvrXHX
tCkCFXgljwEE0s23ys8sqSkWSNcm0LltPwQ9UTzT4GXsJMT1RnFo6KJfyRViJEzGPUL2+GyWiEw5
laM5NrGaClJ8ggzW061uqsuYilJiEZdWlR91qktnrAi+LVvAB0y7ftWNCGCdFV/WltxrtbhJeebv
6tA99WsvqlwbUiNsEJdlV9GvKagLWGQKHqoW6dZphuu5765FNpOFx6+5WbBe8Y6YAkoXpMeridpt
PzGX9iMz+/sk1+7RcQobe0Zf3oiGDYhpAQxq6l1Uy/hzRWOX09PT2oUFcU+IhmYVfzCzpb5R4xEy
KhdllfXBYhb3QtrTrnY5HZyGBHfLKASZiEZWoB4zwAp0RUduDb2Mr8cIqGdSA+k0oW71s6ju5IQh
C2wkyLN2Y3pDuakN5JNEnHVl7kaJ1rcMtfXYeRR5cu5tWt5rOzSWZMNFz6d6lfaW2qmf7XBAS9EF
+gR1BFHndwse9J8exb/wYfxpqcwDt6aO0AS4cKNl/XqZTbV40jL6xa8MLa53Zj4ZXyhHc/0JmuF/
46P/vv/WVfzfv/9u8i9f39u/eP/xVb+MPPCO/puaWGW+n0YeLBPMO5LV4zfB8KeRhzSuuSIEifph
1+GrfoQqVlggQiOAHGKmDlfwf/L+oxrof95/yIz2GsFlhDKMNVb468dkXCaEBMuZrnsA0r7VZ5+q
cblzqnEMci+6LvQm/cojVm6SxXwAEcXlmaqFezxrHyLWdmxGLQBPAmOh2wQQOvF/Ohg96Ut9bSNU
pzl34OMO5Z3l5RGDSBXuJ6oe3AI6V1w7r4OZ3MtRfYoRePBU9tA9asufqfs8UOBwYa7iZ+GsvCuv
3KncuOe/tZ16nQYmYFAgteiMSl2c76GSZ+oUHrHbMPln0VvauWcLG5lmzddx1B0qZ1264IY1Yk3b
Wa4JUc4ab2YDj/Eavt44BtByYurrPWnDuOabzcAL3VqXE7V+0KH27Lwe7juzlRsMS20GZkbvFIy7
TWUWvDRr66H1APIs3nYwzWAAqLaBepqwvlqOSk8tvy9jF7e3erK9N4i329aYVxHrwhn7zzTTJmzJ
2LhaZgIwdmG+k+OAcXVe3ketOo66s3NMAWlGi58inZc8kHwM3LgaceIxZK2ilQM9x7laZbeoap8q
Yb+SKDk5VYZlU20lFJem049Uld4aC+7/yJZ3Lj+hMKGBRVTtbsrzq9by7mSivWazonVY87gmavqa
opgeC8N6TvEs8W5l6TbSfUSbNeHd2TlBPH0QOdZYqbSnZExpAClT1nzhYz23V5j+T1HLgqzL83dL
xC/zKB5qE1d4PN+xedlpUnweRPoV/B5Tpr2MflvDkVWrb9nomg9nWe61QSSbxvLO/Joup9TBjwj7
0frAbx2EBn+caVC72qkonbKS+4pgjkxdJLrI2avUsTdtWb2YpXw2gbD65TJ/sYaJz5dO3oAeJ1zR
fcWKMX9j5ffJa002b1S86rm8GORyqGT/Ngq230ZsPtiIghGvfoCZzY2uTT1LtXHeImnFm1Ys6VbE
IHUW011xkdlT2vNDUgy5G5uxhZ2ocdfLOvBoQIKv2VKX1Jf1RQhr4coYqqe5e6bJ1eSZey5Qymnh
BiUYcaKo3oKBt8S3y9R6x5DC1E3ldPPeWpvFtGGy/KHRU9CNMddfUX+gFfce68Wm52oeh+kS9EXW
qMfx20xsj7PLtBqFmXVfhiYTJh7Tp8RK2f4yU5NDhpDPlD2XFCN569ztphzhpbcHC8lITiPdFhRC
foFL0wkKaBuYqM3narRT8AE8bnnMR7qcenoAEBoTfEO+SIpt5HrzvVujAFRkCuZYva1nL0Aod0t7
605DSxgyGrQVNeZBSa/4Fj4NDkznaraok0GJUJr7KUGZiF2bujS0CsJbxwTtosVRnaNl5MmwY6/Z
+wqVo6oJDdEqdGHFJe2qKCGZJe/56eqUG1OfnTKnopl4aCetaXF7CafXTlpPVWV+LjQnB2rVAO83
kQUapdaEx5Mdr5xRhXKJkf1qWgWbcpVusji/1NBy+KsGPEYSjE1vI5Ei+BgNUVMz+1hQgurUeaqb
5MzF7pVlOlWqhXMt0Y7kUGn0EsfmxkT2wEeLWKyF+qs2p3cu2hO/PESoVE1osM5jMUL3VjnLanty
qSfCYivXWQeJS21Sxh/WplD4ePQcBqMuNo7dOikljEywRpEN9AuNUYruu0vAZsA+1ikrnyS982Ph
UeBE4d7guCkbaF3RadS/i1j1u8pr0l0/eMmmrrWrcp3nxnWyMxjxVBR+oSvrMmb0E+sMqM/LV7FO
hUs9z347kdrpLPYZEMO2TtR8nXApEh5he8LQ9pi48hTX9VcKzXofHFLxgLx/EKXxCPmp8MOa3wad
dztkDW3rhlyv5HR0ijqkzXygP4LToe5BDU4o3kXOZ428Bde2XItAvbeaTpcwF7IyYBzpwOr0nfdi
FFCtz98uAv/eiCwGqL+/Ed0n72Cs/nwjWr/qlxuRjvGVth3DBmv8y40It5OxFrSCBlnvNj/diBxy
bgRQseisAxv/wh83ImoRMB2ul911Ybqua//B4tVYv7VfJkI2wrD/+Hd9u2RR8PPrjUjRFxUbVaJd
my4fzLBQRBH0lyp6QyECHM6tHnGIIAyZKvSzy2lVjlqOXYmUNDCVSKSlHIkJudGHjcySIYs/l3CB
GsQos3TP9apOdc6zvgqfObKVQr7qbYc8wKpoGdHAgVk+sHkFI+Jpud+QYdnihH+mFX4LF/FkL2nA
ofVFEVHUEc4MS+BOQEqL7TLwVm0tU8mhG5pikyK76ZFzmFYdziLiPiPMpTxoCqHOQ7BjEQ6XGQlP
TOWnBkkv08EDWoh8rSd2CtEv8TIHin69rz3EYur5tth0JAHYlfOFaNgjHmag7RFxoRciK7YdkuKC
0NhMxox8szhHEF+o5KF1SrW8AsgiDrxErY3OPfEwiGVfWfPR+CZmyruppnaTxc9jjtyZr7qnbNyL
CCFUK+yTuyqjtTafSbLAyYscEdjIp/0oUiYsKBgIq9KjDLJBal30tw7hNUKAXVwbRMKqySp3eslW
lTZvTPozrXdz1W89hFy5KrrTqu0KK9z1q9rL/VgG2rxQEbfsXXcKaoThoeNnFq1a8fRdNyZxiYhM
5TIaQuikFRU6iT2fgDIuG2XVWn+sXGLKveMRljB6huGm0lonMBIrHIOuM3vvSz42uLJ62+i3MsP1
s5nNaSGfy4oNBDE1ClHcNH69Xn6Ghrt2ZX4t47bZiNCiaJobFWk0qoLMSdtOqvsqw8Hyvaz5WMuj
NkuYbpcSrLyzvgEjO7tzFKUCjulcidhw/Z40MKlrDmQRf85n67l0Z/YQ80hYM4t99ONkazX2W1p3
H8Yyv6u+xRTj5E8RTgqqqE0aBYG5Zp1xainlCbh2mAH+Ba7XZgQKOTtYcfvsZna/M4WVY3B2n5ee
jkA0hBR5c3rrXJRyYkeA9IueEqqkc30NM9c5j0APP+fUzEVUGc3pmzVj/C74vJT4jjJ1gtK7T6v6
djRp6Is53GsrwU3IXjen0w7HMrkPTX4KKXDd2/wVV58+Raq5BfLvLxaEwal7LoEactXBmyccR639
7iwLkZWBVMdiI2W+ESLu0GFmLuYTmwIYaHfDUkXHLKYvSpZXqq1BYtX0LkKDy62RIsJmydqv/54r
35aLq7/l/zhXvpT/2SbvUfXno2X9wh9Hiy5/01xd41zR1nl63RT+GLbRIVnsrQZ723O/rx5/7BfN
31j9wQYC0kFABlrBH0eL8RvsKBMaggZJajUA/5Oj5a/ERnJFWPxNtpye7mjr0fOTkzdJ07iLiTie
iVNwc7Szpo96f5B2dlEk9LmwBhyV09JiotUG8ddyUfcDU2LEtfXSBJVPsyB9XT0GAa15SZ1c12/Y
jeHuSUeU+003lt51UfXqIjKHPDkSlDUeIN0K+6h3WisoIBX9dRGa4UW2SApujYwC0fvEYZ1xUpHK
u69eGcnp3Jo1Vd7rAzNSQfOOqA8/vEzoixwshu29luKH8Bo3Ge/6ZumPVm50jEKKS18QrmqpshzW
IU4TaydjVVPbpkmBgkNHCOLZa/y2aftg0JbkZPcLfTChqodNCkQRNzdUdG7AIZdoWpCUj1w13MSG
/YWExAuBxa84V4uAx5pjQNrvdV+8877XGbuLxnojy094mnhmE03HUmn2rs/EAHUlkpvR0JLEn7JB
x0kzYWZijv+kiwQQAibJr3NClrYzS+MYUyZ5SZ0RGoTeMkw3w3xUdd3seaNVfjuqflNk5ezbbk0u
pCXv7qFp8MuttxKJjdLjkPKE4uQOHiSjsHXwgNrqmFmIsIlBBM7y4j227WLTRmtP6uKmyKroiU6Z
bWvXe6c1R+BIVodcZ5WMYrxfQkZM0WEejEIY6zADP1ugE7fZpMYNUvq+0j1ijP2MmbmdrjITf6SG
DdH38rXChswDy6DauMYIld2jWpt3dL2V76lmtRdFk5SfIMYzoSUNAMox/V51/+9teL0c/v1b6yYf
ii9/ET5Yv+rHK8vAEgHNmrzANzXP/dUSYYFccVZ8FBuUVZr77ytrrXDnb+lYFHg/fd+q/HEbBllt
8K4zSAtYK4/lH9yGTWe97f68H1lvw+QbVosFoFOuAL++sqw4KkvgoPq1DeY9OyTjaOAPaLJzyulp
qe7WjdUntHem2z7fT5H3SSRxtyk4Z21OYC+kBDnhTG7ZDQRm1d7KsaJTTzsNuIYlp7jJaa6Gg52K
54oDPoyY6aNrfT35Mau5vrRR0xydqGLWSWy2i3pj+0/CdGBVDSv42bFCKqtMQc/u1D/jRD9M3+4c
XD7YG5tBs95HCOCd1HpDoWrxTMQChjeXl1IMC1xr7T3hWjMp481d7znVeuNBmLsv1jsQMf/naRGf
WsVFZ1YNDgnpQsD1rkq5LCdhZXfskFbqL7ermWsWmjz/IJXyqPwW/yDdlqPOrY+7WWokTBTrfa1Y
b254fr9q2We2yHEn1abTUEgoRpMr1y90+naLoMAN0P52G6RkF1dVbS4TOf/1vqh/uzsmc0sMuBy5
o81ldoDT1WBpEMMGZEkdsFrCt6J5a67VzXdsv7OjaYwt3ZAJx8wSTf0tQBMaO1Xe3o6VmdKOAkaO
KZsf1dpR37WsaOImBc9ZZgYUAPm5Ui0LrCGbAqu13E1VdfQvrYLT7FEsFnqhDcNgWm75bFoAelNt
m06jH1eyuvAICG9Qm5JzaGvpdsIjfhEDAd3PLQsp0r2g/xqDTbaIzXCvZ8OH4RE/aOJm8Bt85gdd
itex59cHUb4J6HigcqVhl5LAwTlwf333RGUzrExTALUDj8LqqdeGzq/sNL9xTWygOjmRdV5JAo9e
t72Vm8BUx87eu3HzXsy6t6dNhMKmVhCtUVV0wU8OMSWcyi9uBYPDWBLtEGpQ1jqNAoXSYENo6n3W
bnWH1vCiFeVrvYCBrKj42nQ2RrTeFe1pcqrpFE1DuycFgXKyktRrimACfnn0HHf2R0K8bmMtMUhf
y9yzZeJOr6kCSo7HOdO6rvVKDXiGn2QNrxSJA4yZ0HRTW2OAdKgLvstS0sY55K88c9FFi4XwMKms
7IMY2q8WzKY74+fDTfeR01BzcHXduK2QP7cQ7LpTHyoN4gr6WqvND7nQI6A3ub0pucADCGqeKIGL
fE2FQN+9qcKQyRk4ds8iaj7lVYlYyLkaxAUGhbFgBEs1h9KIJX3Sy+ombbrkZfGgSBhxFMO+cEGO
1yTE1XCblABEbJknPuj85ugN8j3OxxdWo+SHXGrrPPExpf3a4ZI8myK9ACz0eZaTs6duQvp50a4v
Ee/Mj+I4ZN5HxXMq1h1bX7gP3BdvGj2+qHXb2ZRtdcXF7KshvU9jLuat3s43vWrdo9u2h0p19x2N
2E0sqe7uuaM1Q0s/+5Js8GZSNm7gHkpLpD8XRu3E5q5147tIa+2NE9ElN+Rmc7I19QUzDpNkaRyS
Kr7InPDaNaezmM1mu7Cj4UlJ2k3Jhw3TWA5nGSjMa+oyqcqsTw/EsAA3WINJMN+zLiRMy40lq46k
QPHqdTbvLG0oicQ3N9Uk7jE2rY0fWXIRQf3AWhLVQbZMLt8S+uciYFcjtZKyqqbotiCQjN0HEsqw
PjxKC1lCrP/RvrbjIA0Tb6/RlnSXR229dQ3IKbxhhn2XStYD9uzta0tfApWyxoC9nfOGcZb9PCBI
hF1iQpQorMBTZLpka3+wZlbbzFJHECnXyBmnwkwvQfsVAVOqsTcnelxMrQ53GaUAu9ixtX0ehlC6
tao6GHK2tykzfhLnCn5DYuwNc20nTPlu44Kn1piwleYljQss4Ne2M95SGoWE+6nkT2q3o712xkab
IdXlXtBwvkkLVjxNRHlhWeB15jU1bP4d0L4PaAxTf3/Vuf/yFXw9eYu/mtD4yt+vOzrVHtwmCE1y
daHK548JzdB/cyWb0h9/h6/6MaGx8zQlpzKHswQRSLTid/GPGCbXICrubJcHB+/oP7nu/IX453Dh
Wr87WwNu/icKoZmOJWr8TNd77mIDxxG6AzyRBnW6OvzmHudb1vFc2tb4PKXFqe54JKTmOkwszBbh
EnXbsHR16j9kgIef5dJSOr7UEnHSevXFDg11RX3g+ySbjk4CChrqPLw3ByHP5cixs4xmw+M6Nlfw
FYI0ip8IJwaTVgKC99yLojcuyMN9ZPPyNMXsDa3susnh3+jGgTBRymqAsyEpzBo4jA41ajHzLW5F
ek09Nonsqd9Tx3qcpHjJRvE+jSvKPaQ7bJ4wB1IM+tYU8OcyTVz1Gj4POg6p6MkIThDXfF1iEHoA
dnU/Z2HJWrdPtoggT3FR3RoyolsBbpyzWBzWQz8GUUsn6zlKjrI275pOQqkK39WK3SpvpA6gyWyz
q5LVn5rTT0VjbkIj/BqX9sNoh5x86ccSrQ633Lh1qRwB1cYJNkYdFvmezPQAFHzI43w395TNNR7v
1lYu90XU29vemQghulrqm3kMQq0cWCRWlvKLBPdOF1JVx2ux21p9dMhiHISFMPcD28c7YGfGdsYa
uEkXVn16Yo9buxLmuW1Wmg7GWT+DNXJB7uSu6mZGOSgLe+zmR1akCenXPgFwlNqHIfSW7KmMhBOd
jU4Vnyj6wrmTY1zhxzcqfza5zo5zwk3Fdj864CtzPF7HPSXnrCfZSPTfthMtHPc3erQcAq06YYHE
0sOdDdrq2tGS2ee0gmVjLOWutghcFspIHklWPLV0xxxM6b1kdE1zSNe0qlipsRX1gNtocR+8cjqa
BbT6NhzgthAVaXX9UQy8fgecdMEcqnI/TlRPFhY5R6cj3N+VmHE1fpZmN55n+H8PfAJI9lCKTvlc
Pt+UC+txd5jqh6gZXzvi/CcnM0YMrvF7rXNbUNaigQzTr4RbcYugpJ4fva2zeOqHQzuE7cGAPXbf
yCanQsQpHzIDzFmtJzEpkvqhcvtt30ukhoEZPErswyxZ2w4h4m9KUpcanAU2lkcTqkmwsaBsLrAT
yGKQA4h3JKG86BftyxzWfhNPT5i4KVkvtYUO2TrdRpbHrXe2xFEID404nVAkVRNuE7cv9xTwZV8z
zECHHFDWRqFJZ1M8H1AD3KDtPUX2mRzIRtpeezuZengZQ5g5u+Ny1UkHz1YOPgI/M09mMbY72irm
bW+U3Vm4iuofPQMhZ88q+Pc8+n4ecQj8X+dR+Z/LIen+c/2adPVfHUp8+Y9DiWpOplxyBB5GKQ4R
ZLkfsiGHEgFgjVopTwNZr5l/HErQTdkJADiF28EV8mfZ0PoN7ClfRn7wv2LjP5jB/7SPohvLRbm0
MFHi/DH+x6HTGnzkSCJG13CRNujrifX/o/9jgfllyl+xKq7J6YpbjHUvjkt+OD8Lk4VeaV6dL/MV
4MIjepu3AxSUtjunmM+zyUWbpf/S7RXSUCBFTRhH71373mAVTxkx7o2z0zpedyyJp5+HVrisowZT
NmcpBfUOVgfUdKvRVKuwUGtBVU9azYuXjhrAR9p+nhtK2oC5BRN1CPs2tpqgq6Z0b0oSPuUob1Kn
XIH6Be1CFcdKQh4KgBN5YLEvC+Az92Wr4o+CNczO/I5OcpnOAu87UsnL+X+BTrxYD+Jv3CXcFjCY
6mZubnuuo21C1Y0Sur0Rc/zZrPVTPMekz3KIYxkMRHNs9nBnLqdB6hunF1dDPD7ZmfnQeN19CxCP
TsonaRclUcmGbVhiXTatFURWcwl4EBdllB3xTyfbaJanSc+p/KQcbIwq7Pcz1S1sFVW1XLS29lyn
KVDG3CGZXzXXLf2kB6+ML4dZe41ltrAcx8JjhRAU3FxnSqooL/G8YKnYoxB4xHNtUW/Zz7O9R7hR
p2apT2Mo9nORUQ2cRHtAEe02MRWBwPr/sXcey5Ej2bb9lfcDaIMW0wACoSOo1QTGZGZCa42vv8tZ
t7tYrLxMK3vTnpYgIgKAu59z9l4b22d8yukGrgMNkGkYVZtlaXZBE99EZIxuksIoPOJ7ds0i4rkR
DhXt1BDskd+WTXeIAAmsJMJz3uYhbYGPhqPL8c+fKh7VSYnXOhssZuuCyIpgN1X1adRB5yoMT3Bp
2/RPbRI/w8S4NfQZHsWkQ6wsUG4jKaBHEuj0MOfuVJuDxPkFPCbHnk2ZyT90s/+OJtQm2c/MD5qD
M3sVpUZ8XRV27hEBGxuA9/DJWIq0d+hxbzgMvKVStFtMTjaKdY/9X4yHTGHgR9hgu72mHDFHXA8F
SnQ2SlIY1wLllZsYQEFkbmxiDonZ4oc3CmvbysOjIpT8lREK1c/LYg6nUu60VdxMeyOTrxb+6KAU
pxz9/qIrNFakV7XFNStNO44iRy2Qto71MAUvpb3s4fTZvkHCWmMZ9zWWIiqXbwM99L6zu4MOxMxQ
56swSBRXA6NBE8V5xlHwLBAkXjMqR0dnHDbqlzraEgMWudFC/WgstU+47p09tfd6OmBihappROGV
PpB9S7OIUnKA41qmO3KLEPgOykMlRXe2nd9LlQiTH31LUCisaV870n6aCIKjFtzTzd9kZtavaBt4
Wqn0O73Xuxt9TPZ8v4ORyC+caenSaRnRNSUkWVWrkjMm1nQ7Sbn6XI629dTaJa7CaZ4DssiD9GYK
GIJPU6bQWQrI0Iq7yKslwb8kkc+F244zQ5WYb/JaHIfKiM+9voDUzZohaN2+MsUbRpXP8Nfh/GnX
gf1tYR4PFcN8kFrVXA+teQ5IJVrTlxzokTktD7OG8Iuw28Nsw6IMVeOmkwlWQH9Te+FQ2StFSQ6Q
EW/zKgV8OpbICKsWY4ijP5kmMFxz8Ooe4Yk1tcXeBsV6CqqIH3shdRhsyjcdHD9+mznilXO4R8ad
HFYpv+OcbsI5PCaIa1ZzGlxDo/vWT46b0Ea0E9xmgFFusZI8a1r1QrIvOulkOyTdT6sZL5mxJH4I
hGWFM+ZZTXofXOpLOUur3m6Z4CuMF4IRAVLXFhTrsEnbwPDmOUbJZK2TWv2em920qQAHJsXwPNBw
M/QOVnCMdqFD19dwm9MR07j1qBTtg9EXj4ZS4pycktspm4+FM267miJDGpPHMJp38cgrOk2nIcg3
YU5+lJyZN123XDiuPk+RcS5RQNr68DgCg1BGyHsWIO9Bh9gxyYDDdAexV/qy1CINJDE3pJ3TVMyA
iHZ2vAvbieERmZ1uYpi3KK75BTOFeUhh3eHW2nca4aaECj2zExzqoES3j48Pxmu3LZPw0SAvaqXJ
zdbItTXLDf2hCRov3z6PrCMYaLKDw72CWMupBi9AklXBbKDs3KY5HRPU5atcTV+h8XjGGG97+MQr
svte5S7d81t78TJh2lGdvd7P120l8zH1dp/I0rYxzJdArkAyUy10w20AVRptzOJTO0LniaMrJKo/
AxmZEhnyL7IO5EJd4pNjZJs6qO/yoqOLUpRbgh7rLdligjIrEoVVyMDxixmUZMxqyBLVsvOLXFZW
pa6PV7KKENYG8bxO7eapICrWl2T7ItO4ozNV18ImjJ82mnKfjvVbnGHPIxxFehork+eFimA905tZ
aXqcfSeK0vJULY/IYJ3V0xi1/zA/RZDddJJTTE4hFPJ/S9BRUkPJ8yKQzkkCYvYhdb7pxj+VxH+6
xKfx68xTbKbUCme5xhFhXfrqMiVXH46Zv5Dd08D4MC95B9TxNUzhIoUPYWgcGD+epFQEyZiR4/Ai
k0hoW5cFDNB0R47k15dBCfW3y4jRDCwKeiY0LP56mbBMQNqnQ3jpoTXXScTBkPewvu/1q3GAkNtC
5jX+wNT9d4oniFtflxKnV6xnFAyfohPE//jvIoI8W7QHBE1hYbbldzfTf4oIZAQqnXTDcvASYmH+
s4iw/gW7UhU5syZOZqqIPztbUMRk2jb4m5G3gSL5R9qDvxURFsUNJmlDtVA6qPKnIqLtR8Rg5jxe
5PKqIUhwRjv94Uf5xYP/6Yk0KMpgqKGkEB08XAufSgh68anWW31/afWEhf1Bki8OpGV9qwQ8kmcs
wl9fT/1k3RIhPn+9ovhEH9QUgqgds0r14EyBj9mz8PrObYk0qwzL9npsSns/dDAQzBSRcGv6ZsJw
rA6mwEAF3bEHhoX5MqmOujM1yPAz0wNPaUukt3Z0NErmg7aaulUjI/tOfzqT9CTySUqF8DkLRghO
4EaoyBmQaGpED4AVFBl5HIKRNzctEZS+gcwQm1JcboJ5KtwYQfDKajiYoUyA46vGjOLJJu/jG3sY
Do6hlSsrHo5SHXCXEvBoAfrxGverPuMvN8frALAJpwJtW5bK1YBKWLUBisg9B40kPJQo9XtNum+Y
3JDs/TIsmtD7bQdradcKEdtxx8CrsvcR6rRVZJYj+OimhSUzn8reWm6tTkYt1RhzW9yWDEG2Zl1B
sCjqbY0OqrteKp1/0OfNVF6yUD92lJNnBp/GVm/ZpKj56m+pbB9NNCQwpI6VFe+mFD2JE8CGT8/z
Yj7SxGJmRYcFVrTmN8R86ob8PWNutx4N/TRV+h4pvzek1bELxjXuhd2sxVcyhgygaF48zUd6lUdi
/kqvW3LZDY3x0A7yI3mfFBylmFQu90ZG4z/IZ3KG++KqSDsQHsgilnQvl8gZJ4hjlCBMR+vJhuox
0H3RwTC2iXWPagZ9lySHvppXOOH7sWMsoTLqjuv5CEUP/7OtQrL67kjjRY/sm7bHSaug7AEz3/gK
RO4gi6/6QrodBzTqEreF1Pi1HTsrK+++WxGKEcVMrlWo4U6f96jjFWj/pgfu+rrrS5ZzFInmqG/G
ZvBlZB4dW3KuyF5ZlrdLoV/lAVrAcWI802XpcDPN0Y0ZKDs8MZ5d2U96WrgTEDII45LmJnHzs8Du
gvGWmQt85AVniQ4EBcvCD3kMDwUs/lpXID9bDvkNZJ1oWkyhP+IoDq+ieDjpRgKEI8f4bqwzq3D7
KTi0LXnICFbbpRNo/TM7POAuacdrez3bYUeCCAHBGkpKmrMPetPi7wFFW6cFbTUjm7fpCP6myWhd
xiQUaLO0T9vlrq1G2uBZd46b8jYZmB4n7Gg9PVuSDtRXp09eE8s+lXUGYjABFDS2aBGDdqTNGQz2
9n2Z+e+mJ5QcX2563ev/W702315/qefmf/73xkf3jC1FtzQhSRGAjg/dM/lfILJkmNMGoxbMvn9u
fMa/OKOiVLFNgcxCXvfnxqf9C80xMxMhk5NZ9vV/MtL528aHEAavHEoZhHcO9Ni/bhJapEhjR0F8
joh6bs/T9PzhZ/nFtocb7y9HMTY8QSTWULLjonNY0D9trX3Q6vD8p/5MrMFaVaufc6Wfs4BRQtP9
xGLvNUkD9l9nPqFIxQ4n3rapE0zuQLhNySQXmxycwsLk0Mp3SR/5elt9l4hXWanOsTdoY7cddecS
ZRdlUAzQeUNXa5eQUHHgJDFqXn5E1wAsNwMHmZcWBbOxm8QJfcTVq70f2mdxftfFSb5WswC2CKd7
HU0IfhlO/Ik4+zup/taLaoD2SIhUPKoPiqgVQsW+WBUy64wywhH1BARgOGSixkgmPCqaqDsUUYGQ
onQYKElSShNDJSFZ1CoAQOttRvkC32rxGgqagMJGo8CxaZCzGBUvkqh9FIqgPJUwIlIVtaQf+GgN
PfIFbq0kx4Nd7bSacQYFVVH1+05UWAal1pTae4gIONlIeUGGsa8t6zVQBgwyFqN0R8JKFL92on5r
hbyCgi4Lk4tEgWcUJG0H6jPx5XuHAhAw0FEXFWGjDqdMwy1HqdhU9dYUtWOpOw+JqCaXNLtqRH3Z
Umh2FJxVrYo5e7LXBelc1KSqqE61Rb+NRb0aicq1p4SdRS1riKo2oLyVRZ1bUvD2FL4jBTD3gtld
QQ8T1dWejGjyD4ZHneB6UmDOJkU0m+yF5uJNJKrrnjLb0odTRNldIgsKmaKR9sH+R2GeDeMxUrNb
iMnEFyXZI5OGB4VSHl24X1La24vhS1PzYoqan/HFRtLa55Ivr875BMxh+Q5XZg3Gw4VZ4mnpdKzG
BCt1HVbslHA8uvcuAwnoIW0H3gIf0/tzGASsym2X+BJHQauqf860LGzQGTotjL6RnyVaGq010wCk
yTHQ7JCN7Nsimh+iCxLRDkkTkWAsOiS6ZN1FtEzqqqd3EkOLkHMUEEqOYUh0WOzFMk70top9HJsL
sy0ip+gNJDRmetGhIbsAh4Xo2izJeCvTxpF6+jmq6OwYNZZ5Or43k+j69KL/A/9KcGK0lr4x3SEs
hMF6pGEUdnSOYlpIsuglOaKrhM1zWEfvrabhve2Uv7eg8lkKZkiUQ3yeRI+q5pjhOfwUKy2tQrf5
o5dVRp4eYYvNekledwvjx0J0v0rG4whLe/mArpWU+VlddSSOdN10qfSK5nqP7kTRhHNcrdstzdNk
Hcb90VRCNuG0KjbKYsDRWxyMcypbpp5V67KrS2RbcXaxkPKQwy6110Teh24QVG/GMj80gfZqpfWW
9Q0Fq5K7jkK1OmfSMUhVMHEZTfHUNNCVZiVdXwPGG23VIHvsyY4fh2YERGRedCirrCxuk+ieZim9
V1bFwapxOCBT5L8fr4teI3gVyi1r1D6sgy1SmXUy0ISnREaxtomM6ESO0mPaDAD95P2IdnBTTCnk
BeJS2rhzRzswD0pHOHygx9a3apRUF59uGzN8H/M7jCujP5C6ozFlczUGdC5RXzTN4rg5LXZ61lSG
Dk57rdSkb2Xkb0ykkRO5zbxYIWVbCXoyIcxml83DPVOOu1zNOesi6vFasu3X89jlDmtOvx9ls3wp
9A7kcSz9BAoInrCHj8DlGAJWpn6B5kltMKfWQL8uGjaEkc8blv7oMai5gtpndwVkRGSBsrPvcf/D
3w2ZhRuImSzNRsRE/oheWndGXVLdE5Ox0H5qkQ/pAePftL4zg/nOLozlaQmK2IV42/pGHzKdIHWp
o5O5qeSh2OAcLV3E2cTDDEb/1MQACSZ7jhc3i8eIXSnqtvpAxz0dUTrYOVaTvHwWJGaiiPzJmkHO
lBfi5vZpPd/LKCGGGM1CWUX3fabe2X3tHKZ5GnallDReGWQz1UxCvrosPzN91kAN6/VTb1aE/ZQI
JNOIB92Ke+yYgfakTk53G6jG5Nu9RNsTQfhvqkTMAH/tk0BBMBWOGg7BBHjqP9eIeQ5KJEyKc5eS
/zQtO4Miamxa/+tTgPrr61D6UtBhXvvbIaCzljxFpn/Os+wEz+ueVYk4pPyF5bJZjbMj8nmy7TBV
fman21aNwGyoKxydB1aqowHEMXHSa0hRN2Ytr7Wod3uc5MzTfpS9SW3KK6Av9tmUw9evP/ovP7mh
8lLqukEoCLKbj1W0kfdl3DlpcR7xk4fznZzkaDWPX1/kE2ZAtMWsP9p7wqVHE+LTfaB3Xc152g/n
KkQdDPJrx9BAZ/BVs2+QBr8OpOFJqrLymrxhBlrybrSxcJYzTM1Ak6+XJKeOWvrrPtKcW5DTbl8O
lJSM0vRyZCuHHyUEx+dYivcU+PzmKu+NmdOFm7ExC13Ha9pl0CWJDFuY3wetYq6jLE7Xaae9SY3q
w1DpXVYl3FK4N9yyRngZIWhhK+JoE5k7kCE/0Gi+UlmtegNz4GRlJyLkEOBbs7SVlTE5AdvIV8uE
1iZUUMdEDo0WJQ4fgl7J7+qRYZGjhEcjJyCsNatuayrjmuQdtxYZOXRl0nUlqxfcLYU3LZSwipYd
A/m11/3esHasi8+2hILGGpXtnOjPmdZEKF2RXlaYkjRmI4vO0WPiNcNcCwabYcu26XKD6nECgzq8
prEavdGz2MhmnXtWFp1AQmcoOmqfSCpoaep0k2N4QqVETWsu06G22j/csf9nOAlez8/vJc8DL6Qw
bTJypjX116cOvExZ8O+6Mx2wV81pc2+phuxsSjU00zZ6wQmZrmCYuYo5YTd8JyxkJ34VNKZRam3V
sD3BJl0h2j4Zpf2Eazvy29yo/b6X9V1uqD3yECaAAymEeOX0fIvvovJGJRYBaMDmgFDfEFdIU8ao
b8McKQ3xYUy8xp7ESrw0BXBnM1/emtJ8dYitZZZXWuSKqfemOnN2ZqCtdYqHLBM3iyGl8CjMJ7Th
uzFQv5M+j7VtZBlwsq1ZTHeBkxytoXHrUrs1EXAuE2LRWb01huGUJtFtHRs3uYWUbO6e7DTVV5wb
5bVZExYW1TgEe3RHtpASa4nkyTSOPJTQrxLPhFs52rOiSU9KBO637hZtHVmwWRcJQOxUrhW92ciA
iZxigIVjYVwbPHygsouZ8WCBTxhhqrPNCzFVd6eN1dmxp11bzq9oNN9qMEWFZa7BMZzSvvBScJ1w
NI9WYfpjSfqhRWhkjMJNdeLrtGJSTH7GumzntZnB/6w40JRmSF3CyzhIzvVYdz/hhmLLm4W8Dhd5
1+PvBKur4oRSFHI/W20TgzYn0SnM13q4MDDjhJr20VGCBpAq42NZov2R4iti4RhZE72USgeG2F40
wu5Wsmemc34dEh2802noKeyaWTASukZeW5NXXi/VCQFp0iYZ7cOSoFhz8AuOCsPrFpjralEVP4F4
i6X+CnjSNiw6dNv1sRByvq7LJHLcxmo7Z9ZeD8dDJeI7DaEMRzituCMpOFFF+6ulSshMZEn5mt6a
iDu9Mo21lULHtc/55JuzX+rbwBoeadKgJ5ZPptE06K70YxKNJMkFQXDo1cFyWwguroW2ezMO2Ns5
N2zLuWs9cl63zcApxCrBJ1g4SYegUX6ztf3mTRXelY/7gxo5M/LztKeLSk+xPeX4nqZBjBYvaXOC
D7X6eqsQk4s/DSd/7BQfVobPQBo1wvVW5KwMZfkDju0wgdY/FuETgr6vLyR663+7kgiQIhALzScI
nr9+s7GFJUuw4gQjdw7XVUyqWRyoguxR7qJS4pmbhkNVwWgqQfSc7No2VmZSIj5LECKO/F0XgcBP
dKvXU6Eh59D6BykuL4QS32Yc36h63K5Vbycml17RhT4oj5ci0R+lKKtuwp55vAG8bpMbvRiY46JV
1jMoEdQdwaboNOuRceJtRSghnZR9rwG40FRsevPOqJzLmIaHhm3bIqQvVQteJgnXhO1OlfKYV806
zoId2JoVQYr2qjPy10WeDTcbw+d6chpS1gLsf60W/uZX/Wu/5Y/b9/FHFfOxD0351ETg0QT2dLan
l2j5Ntu/yUr63d//tHHIEgEfZpjOgE1voVevau3+N4/F10/Fu1TqwxfIzTyVUzWcz4Z6hdZyxc8k
R7P79UX+PiWE3KTbtsmRVDGY/vz1V5qslgkqYbNnR3XV7q0bc84k9/Fk/eZuvEdH/fk2ieaUoVkQ
nthqHY6myqcLzUmMFH6p1DPHmDc2Ne8u8wMPXMcqdh9XxepxR+7d8dtN7EYP0/qVke833uh2q+2+
/sKq6LP9+UH+9lq/f9APP6szxE7lhCwjnT94sosV5bbf5NdAZtcCb+crG35nn5CNFXajteNVw1o/
F29ffwrjV5/i49P5aWyaBW1mq+Cnz0/Yx9fWqvOdK2vFyGoVeZtHwz2aXr5xzpE/bYtbY3uH9XYz
bVn3VsumBF3k0TrzHE869tti014iGver0HsoV/1ZdueNsXN25WHcNve5f/v1R/887Xo/QX/86J9O
0JLaxlklxTyXK0RHfvuj8qs7xYNL4wVe5MXrws/35ebq7bjud4ZLwZ7skYPvkzNmBzdYQwn8HrgP
X38q9a/Nz7+97p8pc3FcDo1l8qminbOK3GWbb4K7gtEKXPUVKqUVaeSrbGOf6636QiNt/fX1xeP7
+an6+B59Wm1YaqS5rdAtyku5tsbxsEjpeejl8jebklhVvrrOp1WHDBltGBYS0jlTr4bxTZ62I3J4
zIUyrtzK//pb/XqN+8/q8LmYlBB8aEad9OcIP9lMInF4/f93gU81nzYRQ2ASMX9OjYOa0Ad0fjcN
/s2N+ZxuJuWVXVhEg57L6oxp2a9UuLj2b+7K736nT4tbq2RtMlhJd57EXVkyLJD/PHXuLwu19ekB
6zGE9UWbz+dxmNzYPEPRdpkBf307fvN0WZ9WJTMIpZnmHLvBZLq6U6zTrLtoZNRacwsrRT0PECS/
vuQv7w/JNWSBYn11PqPObc3Sgiru+rOe/2wSn+xymnybr6/xy9vz4RqfXpoMBqhUR/p0BlRM//46
z3/TVfjdBT4tiUuaT1pS1sNZZtFG8pZq2W9+pvf98asXX2woH7atKGboE2Q8x9QGK7AL+2GbnigR
3D1xRmvkN6v8D6/8/1kb41j6eq0R3/rDJRX6f0qnRuxRTzSGCfB2TyHXXo2vCFR3w+oK/Cz/YmWs
c1dZ2dfS6qZbi1396rm+0vZU7fjc1nO32hZutPndx/vlRv5xyf30sNpxM8oEuHdn5SI2cmnVbjJ9
VyjuKt3o3mOx2oN0PfxErUxgzf18GFfjb1YvVSxPX92UT/d9kFozqp2Zs4Q3eIs3LyvVXDmHzLsh
SeWIkcd7Vv1gVdCx9cl029iu9JsV+ncf4d02/+EmSVMv6cVYdWdQ06vJo7OZfDd8sK+H/se0rdb5
0dpIG+ln+Ky50ya9gJ7+8fXb9V54ffErWJ+ek5T4O70teDTxkvgkVa5icarbpe4dsfG7XSwOLWeC
Lh5lv/Ryv9pYV0AzvX4d7UDSv2Tubz6PmHP+7fP8+bobnwpFW3KYDRUsKfVa35gbE9+Zj6j+GB+U
1Vu4w+Tp2rtqS1PvOLnW/drmdFCsu03q38aeOCT87+Hgv6N7MUf/3ejezX49uOd//ffgHm8LfhcF
HoG4a++0tQ+KNabmuCk1g6m+QKr9x4sJz9vWTQ2xmv6OrOD9/zd6wsT2gkmGcT8SD6Df/8iL+YvB
OrYa4BeYOg2Dq4kP8XEhtJRQybLGKC+qzWxF7SaRkjHPJMYzfVSnUKHVlvqZNu+KvFAr0sGj59yx
9ijafdvpMApg9e7rXWJIl0XCz80MhlR4qzxmsVVeUMU8zLL+ZDsVJMFWGAylbj3M6Z3ZBORedfRU
05AuZJlY11MIwn7VLEklMwc3yRUHJ4alZJLPRCcNHu6vYRMFEREFBnqiQu4icrUYxCVMIJUQ6hf4
ryUoEcPLRrntzTH3AHeROyHavjOucniEdLCmbvKGQb4fIL5Z0DpHlT5P5+j0yGQs40ZjvJl8T7fK
+bu1A5EWGzeA02kELFEkbw4m0fUclEyHc5Th2YzjodCDXVYh6pHzaV0WZHLBDssOhoidC0QAHaxH
+gdk0sUinE4SMXWozy7YLF1DWN/HRfc7s7/DJcN4Kq3vhRupqpWRlsV41CeQnZoIxCNRr/cKEZI3
6nLtOsK0mdb9qaoSMsLmMvOZPG4gC+0N0vZyUvccDOdCpG7Qd1W2lojmm8noG8jqC4vlvKiE9/WW
rmHhbp4ycv2CvhQRRdWRmFPiq+AnuxSVrrSAuylFMGArIgIrERaYqSY4NfM6FTGC2kigoLqE61on
YnCUyrdahA6qckvGAyAL0ghLOScaKr6gKDxoIq6Q5fVQDzwzQU+SYWx2K1uEG8p4Bda60ChguGjJ
P6zByFlGlPqdUxLeKEISU4VWKamJTSJdpSJGcQH1xN3D7dDb5g0q6BN+q3LdzBwrdRHEqL5HMopw
xkzENCapTIgyyY1t2N5NDlGOQ1KcQj14mWtCHjPJ3oS4wjyjkx90ciATrWbOQLT3LCIibbIiQzwh
CtmRCxmSNVmSjQiVzAfiJYPW3IV1rKwWkie7vr3E9LCl67K0suXHPGXp1sqFHKR6gLhRQzAhUYoE
qVPBEGefdM5zmco3ndF8t6sZkBMU9CX0kVJ6VTvunQ7+n6weyiw6x2W5n5L2XJTZ1VBg46Czj9c0
6MedGRg/seL0iChHTd/EPX1QMAjDcquayymsESUqTCh9LJ7TatRMrqtvqqzZjELKiCoBrIV21RjP
rZA65r1zXyCyY4Z6aNQG3WRn7EbUkWG1XPULWY9DDPzP6K9Z7GjUdx7Wb0aQMefqAK2l1nZHW4gv
U7w2JWpMS7GEl/t2gVwMyQDBZiSkm2pDmJSeW8XGCRW0i0LiqXFuZqYUbmsh/1SFELQUklCp58kp
KoV4SSEYzakabBSkll78LFGU5kJaCmH/YQHtZShk301CfmoIIarcBNbKSqpvTEWDI6F/p3iyWSZk
+Sovc14Gq1YusBN+aIs1reVl/NG3zEJyc7oBGINOphhekH34tS4/zbF1AhDtM2Jh3IvYFQNGq0Ns
CB+LCSw+1m6/sufNEJQY9JorJ84Ospn4i1AgGnVwTkgW8WIz3Zak3O1Bid3bfeBxZab0jn6nyIbK
6B7i8sIIa11NybSuJfU08RpcWaVzg5Z0O2U6GOCMrrGVqSu1SjislJq6MqwOQZCFvyNtgRXG9WtU
g3vsZtrZhLyvFbv8GTpvMeDMttNuUn4T9gGFSL8iQ/hoX2GH9+UIJnQwMDOpAsEaX0YYX0OygZZo
reIkQxTcEa3Gn7NtiLiGQeqBEZ6jBPIWhqHhoEsK1MxQmbcGs6+poN+aV+AWyxgrtF1snQklAXLT
cDeVJLtIXmqTy4Pxk4mJ9SK3S7xjOV6Fk25gvpt8Kapv1RgwOAksbhiZPVFGSFucsH1jqk/gEROO
xrCW1VDXHO2ZVaIau+2N6ajLbYJzud70RNoZaXXGa5TtKmW8hN10I8/lmqn5jF3DOpS1syUGbkQf
M/f+2Ks/UgczdWtZ1/hZwC9ni/bHCe+/5ylR/X5xnirBHrz+Xfwv/q//HKVUbMICGotv538TQ/9z
lNJgCGrklaioHCFfUIn/ibWw0UXi7GX2zhlH/MF/H6XAWgCz5W8hhcRhbP6jlBP9PcXkw9kcqTza
TBzENlREwkvfi7oP5Qp7CyooOZEvuG/w4hk22xusjf6tSfr1oKewLkVEnhSwviWK8xB0AwhoEaRn
GNY3QsZvLRGxx5nR67uO0D3S9xAv7VrS+FIRy9eAFALgjXFKpPalmvIyihw/0q/aQ17Xu3ogpXOJ
L1on7XKi/1oCTBSRBYiuly1mxgFvtfa2IDBwGSXPAnXVjWbplkQKpiJbkM3gRtW6Z0ekDhppcT2n
koIORbqTRDJhIDIKIXBgiDMPWfKUkWI4hjJMQSO5aUXAYVO35AAah1xEHyawDWYRhihX+iVic1vJ
5CQueAWGoj/YbfC9csZDrJovqghW1CciFsMiwL5K6GKoSs8jKYyIwJXXZi4FIMP2lrZ5iElsDAmY
XhHvUrusYPcTqY69gAaWoBvS1D7NIvhR4TsEJEHGS/XaimjIIUjj9Qj01o1UgiMLEiQDESXZ2Pn9
TLYk898X3HpsUKROTna96d5jKDFMMeBWfBsYPbjbS6pymjTIruxFiOW8IFg0Hb8fjROgj40s4i5b
ci/xiAEmIwnTJhFzxBm7HsnIjCPo7IPKEawGWF+LIM007Z4MkjWBlTTYCMnatJuTqmghdO/w7ERA
aQtyOcl9ZnZLUmcb4B5oye5UyfCURZinbcE0H82+WpOG870IrdswmDeww6Y1W9l+LtV3x8KPSa8E
RRWLRvfIP9sWJcuiPthspioqySjproo2yY7OlN+Zx1JJM9IIcs/kffJAhUWe1bc/c6XeJlazMQdS
87q+CX3+w5PS1+uqRMclp8PAELq9VYZmkxjpsz4rbOQ9CBbbOKD8d9yuZKZdFPl1n0SzX7epr3f0
FRdGq3OEdg3rlw1buYHhnKHYycUMbdY2algeUkP3Mwdhfwr+QU/HfRIx/4sa6nNgj2j4D91i0Cy2
Y2t+68lmeIxo83pR6OAEN8Fe3agCCRZi2culaxlI9A0aAwicyhT7nSb7uJeh1qnBzzScfgSGIyPT
ydxCrq29VUwPrdl869IedltZXlshes4ovVbYPvDyGi5aLK+aLKbR1gBRRW58mxEr4hKdL4cN3LIk
7NfJlkGyvo4CfQRXYS1uMrRQNqGod+Xka+b8Opl4oKfpBfL6Wnbme240g85E2s2xdCzqaEM6+K7g
cGyKxNkkQ/wYbBOUyakNEW2ySR3UF1I9ukelbrDloqJQmYUPuU1uT4xGIia8j2wwESixGTGK5FXO
DXnoyMeZp97HxOEOeb+LJdh0aWEhV2u9KHae8oRBfttE2IJJ38FCCsIgN/sV8LOtU8tniHlvLYYK
uUOWN1kQsnTH06r5hAhhNzZahbwO9hlIKe4t+lyp3/Zt89Y3wyWZbK9N9Ds5DjG/zqSPpRYBeaC2
9ZQwWBl/N1Hojg/B49bogx+oC3k6h3zXOaHttkgAAXBPrlTjktHyq0DmQB1hDU5iQ8TTg8bT+9No
FYdJot1HRryrhzbKHhh+RJ/25C83s7xxrJ6wueFRVqtdwCnDHGRrnSYZ699USMh/yhsNyZgbL81F
lwFXh8kW8h2xqMM5MJe7WiCx1e46UPt9Uw/4kQ2ghfCol0X1TbNZa5Kyg+U3eC0kN1ZhzXeM7iAX
i28XELEdjMV1JX9jhoYuVe1ftNjO3BFd/A69+JUCJ6gKw2tlsY+OTXjHskixby7jXibTHG5O5KKA
BVsuxc5OC40eCt50pWWSn2bzlerYP2Gr4V6tvNbs1m1jSz4w0sIdAdbOXXXVWfb9FCMDzg2DxMrc
cEjZUrOnFDglIvHhZ9L2QBvkh6wvKPvKY+S0oJoBGXD+91QcMEaImLFXqnM00S9LlvtUUdGMDYRz
AK1pC+O6kQLk7rLzLJnN41RPhzGPqlXb55arVTCyleigpvjQJ+NCUMdB70RBqs+7oHZIBiaTc9a3
wNjSB8ByYyrU/oovLd3o2pO9zuR4pxoic3nMF4+Am+86ggFvHsoJeany6izLRWkQnHNcCL0QDcpE
u2EVaCSfdETzOB2N59hiucRJ5kVl/Fgm6lVJkAhmH0BCJTEdUfsGXt/DxMVBff4f9s5juY0kXdu3
0jH7YpQ3i3MiDjy9E0VKmwqQhMp7X1f/P0nTTYqQenrABf6IwSxmRiQTqESaz7zmvDL7w1Hl/CpB
5EK5SW/6Qfqa99mXOCD47VJtlsfkgTa8wDZCaheEIeyinNy5CZvLsg6DuRGDotdTGV0bygRI6ijo
Yf1NyVsVXZS/whO61BZdcIiJJnoqmqyKGOltpacqIFYOjuacK9fJ5M5YtBfFlHxm6qy/XFWn8MTn
2bReBSfGEsD+Klv4R4a3Ck/95VNc998AV6d09psAl5BtU24JcPmrPwNcBRs/XRHkbCGDLfCvfwa4
CmZ9tgKeQeBsseH9K8DFmQEuiJDAQcPmicL6JsCFMATnFcdfheDY+kcBLnHshxUkrABRx0Elh5BU
/mkFtWqq1oXkDOeG8PUAJZLOK7KpiJ6Q7RaYBoQ9dvStIRE8uml+2nXNNW4CS8OOwM6XI2YOvmyc
9GlfTNpQpXyGZaeOKNA0HrRqoSo1rQWApqseP9RLVaf6BnEC2NngGYgjZncO9k5TyZAfUrJuuIDj
ZRJAEXE79FkkoI0TzYMMbsftNM1amcKEFU2DrIMHaEOCaQIvRZJQvYw0KT5sE2h8CSxVufSNlWT1
WPppbnWIHipKDo6ZGtMgj650xd50UXGd4UiQJ105K2VTOgx7qT/ynJiopXbyc7khhlWFhzujuIRD
kJc7bI2aWSUyXbdzTmXy1kJT40nvtZdyNH5NmvwGa4hjhHy/wx9chnnChx07dZra4YluoBQnYsox
tx9HB04BqrLF1Fbb48HKsikM1WIqNXQefBOxUSTdIl+rJoadLVwOWksqTqnW3oWBUBXTcnca+Ek5
74zhfgzUMxwh+D92fhXgxYsBgFbYF5VmYxGBnidXjC/8uWTQkAX0T1tBiybPANb3C3QNlqpcHzfi
Ji7HzWjbnF5We5z2BsY2pWUj4kAlMG2qnBoOKOfSBsXneAQrnarf5k182kiYFRR6Pm971ZhVw8YF
+khyLpygPaE//qOxvGxmRaji1PqYLRS5jimvqBduOWAgBnQbC5r80i/HtV0giqzUMC3Q6DGnpY7t
U2pi4qXWX8Mwu2zkRMZYIO/Q8aHcUiwMVEyn6FssG8W87DvvFo0iZ1InFbZZdTxrJSwmbZPlalfQ
mUHhUyEeRnllxSnnYwKGJROYrqBwvuZueIEHZIHVl3nsdjaI6gIMGqYUa3kYhYl6trZ6rZxWvRTM
KskdV25N5IvCM/hjT6eApjbIEiljPut1D5Rl7V1brsWaomyzUpMEcTpqIU0aUT3uR4nUT+Afdf2Y
m+8SB7ZvKQ3mSdon9hzxj5PEVFembeMm7DnnfVpVs1hSjanlK4eyB0kUfgDl0Q7VP+Bq51kvHZZZ
jYRBFz1wE92GiYakLnQzvUGw1Us2HFJnpUo4VoKlbKG5zUPbhlBdpe2JM1QXWq49hsIFAnfZlRYP
913onPVqeh2kcUgIMWKvRRpbSYZHIByGi9wrCbdcGFZZAS3XjyfEk5twhLo2qO5ybDpKtLFkIrwu
gjtPmIt51L+9IJ5LeXSbdtmtUvrISrT6upTD76lJxqHUIFXzDGFYyl2nTWZ/DUvpGLrOESoeMrYi
xtz0sf1CnBg8ezPFURTAniN9Q1R/iY3ISVZiwNSBFsOZ2rqrR+C0kac5qza3nFmVOGhdKyw86rv6
uRplaJMUQi7wv9ci2gGEHb/to9HOSIN6+Hgvij/7815UUWLnZtOhS9P4eiffrh08iZm83pcvVR8d
RTnk/ixqPsiZki/St32t+jgH/Lss29ymwOKp1fwT5qv1JOrwLqzSAf5RPVId/our+6cOsYTAsFkU
VXKRKrA1Tyu1odsyNAEXH2zrTnXQWmpbGz+t/IFGx/cxG/0lSci1jv/BRLPuhxa/hrzxViWNpiIP
Ukh/RjxrdOtMrhVO+bDBgj6HluZmDtQ7b0DnCTrcxM+9M0lyo2nb+jVyRtl5NdSPkhnlE8PpHvVc
yuZ+hmSTQ3aT2cFxrwsOghOeSnlxUcqZMct8bcQhGm0lVKlj8OLlo5RRASmb8r4N6gV8G5zZVfte
6pWF39Uwn3pvZVn1WUqzhdKFUKAvum+dLd3E9RBPw0i51oz6zqMot3RsOigKJbBzL6CsSvOxhtIR
lXOgwGscYLJlBTR/YpPLIzx8nukF7K5RhUNoFROceS97VT5KZGOj18lSK7t1pQfHujpEcPykaY88
AAxBfttZJXJ512jBYdZDsseX8i6rzDsnvNc6Cu669lA5zkOpVuflGNwaWf8Q6SiYUUsc6TCaF0jI
0rAwulXiB8h71xJ8NanxFnTJrtFbPkNU7Gyk+TYNZaTfBhVJZ6Owk8MQ1PvEUKhWdbJ+IRldfMx9
hCuw5FtTr1eOQ9/0lujEmyDl41P01eW5XfU3ZiUdqR3VHozgjuwMdTbZSc5zCDGQ2Qr7sMxTdTnU
HeYUYTYrRUKWY3K7jCy/nIUyV5TZuv3caFRBHeSn1qCukIX76trWAk++C1Nu0CBJuykCEMWyxGwP
pUEbo/CI7Ihua1933kTvRk5SuTxEGxRarCq5SwJTd9pl7bFsyWc+XwW/Wd6HqLCarXFBqe/QC0my
TTVENipDTkxfOQqs4Gg0b2q0uOXE+1pl9QYClEQFR80mRmPqlOAdH/LZeJeGRU7WxWFs5bcQNrmh
qu5GchCZ5U9j6ulSMdfa6HqQoH9oqklbV8l+JBWKBkGWn5K/nEc65Nt66OF1ZR2KfW03722UMiyo
VeyV0p6FWaBOkW5bdTWc0AiN0nXtojwqVxjYaSUeKloUwqyElxPcQC9BQoiC55y9Bnm7xbq8tupl
ilckl2WZr3pFdadaJh9jx3iqp0iQJSEi3KMkXaLUCGMxLVAlU5OzICWkxYvMxFiZa7/3RuqL2Trq
C1mstWtdO5KGH5GMZJjkIWxrVXNt6MOZ71tzW88gvlo/ELskebX0H+Uof3MqB5vD+CzHlFM1FWuC
AIQ/NwfwsENSXPlNtY51tP6D4dDORjSxHLJQuuV0SeiI2XR7Snv4oVbld09qjrusvgTcelq3YbSA
AD0bI7S5HHqjioy6PjxtdRI2SHQ0jo8taF3/yKUkwTutUzF7tNZBUX6nlM6FnkHEUTOC+L6z0XpF
lxwFfsmm7U+jX4GFZw4l1IrYfKgVG2KqCZOGA/m4ksqejmqDiNrYHtWu1k7V0rsy/X5NmYYKoR7R
Ay+qmPCIBlSlg2VNEM2gdiwktK5rA4eCPkznce93M6SC1Tk6hiWbLmNL2CZGj5S2s949y4RDqt64
YGAk7xoziPMsd64dV19p/YDdRSpsXIb4ys3zM89TioVX2/Fd2VWoS3dIw8iWKpg6bGwjvLVMrSbk
6KIFx6qOdp1/36cZZUI9WKDde8SBfjXoWbsq6P3PuAAu8QpQJ4FhzFr4w0ufmta0rTR9YpjZF9dO
j5BE1KdREZ9UfnsZGBg1qrDvXahhsExKZZ56MX/bttcGzqqrMW3u6bg3EwcZ4QlJmI/Ub4FY4yj9
cHSF+8Ivg6XtSJcoA9+bGnu7iC2b+FsY1/b4q6XIDKPHhSh9mRV3ip2409pGKC0ZenzFVPQHfAhk
s4wz28hTGZK5XC9ioZPnUAHJWUidmy6wySwnCl85oRBRdKfBgat7FFwcqGdTsw3MQ6AKBPs64tOI
WLNpDJwt9fbGH6LLjjtxWguj2MCocGi1DA+e9MBys3EAa0L+jcSNJEsaO+Tsw9NBolfsdjjgejIa
wVJk3mBjtEQr+9HIjIvQyzc9vUuCxRCFQAxcuxIhUbNJT9AMK84sYzzl/oeyY6UrWVEO6zgvp/qg
Nki1ydkdyibxYTUWN5rKxkfg/lYa9PM6qB+7Il44bnjDZS8fB2aF4pztHFbIjVE4/eKM0UqTCBYt
xCNhlwOVGPRu5RoaxkIDWgMtdV06F+1MtayHoM+kWYLqKqS0fFwMmX2luEkxNwStKkVRYZ7nEO3b
uHEP5XJYmyDe+D5bdUEfA1dOsMm2Kx0FnrcuITl61KfRY8mXWUEpKrXyiyxCtyVzZG8Ozf4hD3s4
jHXwTZcDWGiFeUFq+jXTzaWbx/1q9LQfodxZnLHUqlQVWqPdw+kzLUQmkeqOJnI2sPxCEgUlGCB+
jMo3s2rPwMYEc3SJyAUkTm1/IIVD7LCbmlK4llP1NILoPK0DNwSakR8HLTanel0uhxGZ8kYTkbcc
rUIarFNQ3tx3wpWuUN10moVlPEe+5NH34NIVtlcuAKbI2JS27SyTBwAnozhVzVuq1wp+gK4xTQrp
i192N6VDWpkGzjTrYuwC4dB7DemPR3qBNbF/XZtWgQZlfdh4mJMksnOjp82FF3fOFDBCN09yCRF1
k/2E2sei96R4BkLkUCJyYkOGMoXX6j73EmFfzbYvfa4QFHpM2EPUvjcdzXspN3+YMv0xzeYSSOjX
o2T7wxI4ADVWH9qhPHa4ySeDZTxUWLAUdlPisaccuamWAmhqseE2o1svSaopWgnq1G5gs0kJLbZ7
2fZOCAywwUD+fKI04VFulIqgfuM3H2RUREt+ZkffPAmcRdKFX5QSWFTeSFdW4uDekmSHutPd9sRc
mDeMiFTmWTovajQCgGmA6IgKHgdN/YndIaRLW+bYLrIL2x5ED6ygMtB1P0zVoqtDo3HuRdpCbpu7
vGXr+qVyicUryfSgnWpmUCOwHpYT0CvXZsB3BHtbI7zsOafL9LTXy3RRmvqRYtcPdCroEgb1bdGT
AiLFcDPG8ImH+IuqI5HSVRyplnwPF4DFT/104tRWN8vi5iSvykUqQ7WSh6rmOISCUJvhxiE29lv8
dHH03IxJeTQ66Dd45XioqukdhnBI1Yc3eQvqoSLKsyKOPr9gZfoO5iYZXc9Z0VhLuS9/mD4hnZX1
37SEmK9FCDag0Qmz8BCi4MyP0jWGnPdh3ZzrenGUBJBTPVorbgtaDlbzCg2Tq95X5r0B0dstsuu+
cla57hw6BmmjHOKCok2HQBkQbUVoE1MlLIJOUPo6xAVhGhtyqx5VoTJMC89So8s4Hc27IQtMuB0S
VfTL2KgRzhwELMLIpf9qDyrPOSiI8l+XZr80rJ0k3WxJQvm71yQUBSbKr4oFVkChvi/zoz+Lsygw
odxhWmgUmTIssL+Ks/aBTv7J5aniH0OdlpLpax5qHUBMQ5XQoWrLDfnPHHXNJyLlX3moLdAH1HmB
hKqODqbUIX9+W95XWoOWZpYk56PhH2mUOPQWk6Y+SmdjGmaL1iAQx07sVM9jAhlNX8mNsgzy+txv
aCYCanM69TJFi7nRlKOuytdRo3+DyoU1YH3aj8qJ5+ir0YcAH0nZMPUt7xvqe5cQaKO5mSRr8BXw
KvC5mrhxk09HhWwoGUAixRFiBHZSp7eZ5h83FGhOUjp0ti/ay9xck5FGfelE96ZkLDRXufCJ5sEv
Egc74R3EafxSU/PcJvibqQ2ycrCTg/PGzB7NLCOQ6El+R98i6m4j5dAY7JO6hsTvJl+Irjd0Qk8r
3REdtS8dfSBUjr1lZjbHpjFqXNbmOazio7hGS9vxjRsNWZYxq793vrmo2rKdlApBRefYF7pTokYH
orWLzsKOYhZEaTYhOCgsIiVwFtKtI/CiGeU82QhPKE/2kxH7V2yd6kOk2ArO25Es2nSShRQ633sr
uTDa5kRv7OwsLy7Biy4SrtnBwnXCAFGg9VeDQvswRKNQo3mlKcBdY+mu1d1bU5cXZkN641CYo/iW
3AcDjsaSrAGTR9Ba6cOzoWXqiqi5lHuXuDQyk6+FfmgOlV1TYvCQAi+s9syT7YULNGGSoNoxHZr2
2sdniP+NFwo91lldpF8bPoaLKfs0CrikscBYGoHM3NgIOMgD+E2+hzCUiDhkO55lgw07YdCuAhue
Xuc+6gXaDoFpftEz80pSLfzpa/PESVA7bwxUJvycxD8o/SsJSIYBCBFdSGLvvgi/2G76YMvBLHUT
IFfRY5iWXz2HjivdEwJDHmqVu0qHd64L1D3rvSlOewtNB9sWWABasgBaVNDMRqp4xhgBEYBbouKI
hM7PADW32diGkc90E+yJbOV3GeZqDg39E99gtouYhMDLECFOewWVvaqE7m9bgDp7rkhTcfJT4Gco
iUdkEg0Rt8wVmAVgZsAS2ig1ps0kLlEORpjwRIGhhWj0XWBaJ+h7XqUtAjpWgMOmpIzjMkmJ8FOs
5BbOwJ1HCfh7nhbXdssXb3TebDDGM7lxH91WUmZaa1w5uX3VdO6q08CxKa57aEUSfHoWPfr4CNDQ
ByEbpPSjelFFQxQZxrBA9kcahzVAa2y+KurmMTM6qbFtr1s0DyKT2gwQDCUGo4sA7zIAHTwfoitU
xhUQC6jpj2spGtZ1a37x+vZLFAPf6+0LxMjQCPRGMgWV+E4LpK/I4xDKIm8lzOz9oTXRjyoQrVFq
IezRkpVIw5rvdTiiao9bQa6DDEWTUpX0jdpXp7EsnfZync4De0jnlNTXAHdXQ14b08wE9ilblJ6H
zrJQRCMIR2/qOrFQKSmqWlm6qudMkfXl87RxOusaViD//kONsSccDKHOphMh27F0RVVmUyUsCd1M
AiIP6yYvi7MqBiOKrNImz+VzS+oWVUiuJKmxPk87i2a+Ei58eSxPXAVrhRQRtYQZP8YHkXJIympq
6vSbjqXMgmwZef/AdqjTEbDFg7dydbNfZcqwLkxUSx2ORuLrRYGY+9T39dOx9s+rWEtIkmR7NgTa
NS5IHbDH7KKo5GVY6l9yhMUQd7lWvEKdZiNleTmz1p6XH+Wmf6TycLMukM2JITc3kjkqU1zNhWch
tabSYFFHlfutNcdvZU0dodK9lRdLdFWUZp5wwKGg3VzntpLgWsb3i47IzKb+Nu0sFNGww7snaOeo
yKeZ75xz0C29wgeWq1dfcFD9Gqn1bVnYNLij5lZ36J4oaqdQAVAxcYZMiNOLb0wHH4WVzEMkOla0
w7IKr1NTW445cipupHzrIuoYDk0bI3bCqe2AVtFyCEil+rU1L7vqaHTvOqqBvnZJVWlCGe8rYfNN
gC0DHvH10kyzMzWn+pnHSrWSQ3OjcNDPld65IFFla1N+XUkGkaBljsE8Ri5pEqBkgeXeSZXH6CGo
K6uPOX4DnNgG5To1zGMf5b8JMpq3Vk3NQy7qo6I+a81hUhuIw3ogNJCQDWZx5gRLtSiR+iyDW2UY
l1AswhNKRwr+F+WpM1jSAoB7tNDqPpyMlEjpoZBXG24y73LvCHdlaVqZuH5OlMyjoDI0dIT0PtvY
QeKfdmmNqR/xu2HdhlnSLfEhEvjeYhzOFKoNaOHxPdO3MleeTbMqcKcZ59eRW490/7USralRohtV
1fpha/lnwItsG/WbYViOPQQQP7eF7SMAZadAUMFQTtXcOOQ0OjJdlo6tUy1FF2Ymlbr2NbByTogW
KRC9klaE1WeYw3ur1Jc32iBvAHjfc+UIbZ9+NcgkwzYa55HMo/MZK03JZlEfYwscUW7zfLqLIcgX
F4gWHsl3KCW2y0FB2a4r/HmBbjBZ6wgsRxKoN/PYY7Lz+1o+UnT3KnKtlSTB5AxK61zLe5qeTaJM
o1i+Yfq5xZV4A3T6qFU9a5EX/WVZmcvQpk8GvT9dpL1Ml7WUhRkWwCGl6O7SuqeOF18bKNmbsXGT
OMXFUIRUg8bosNPNBVJfF2ADUT0EuqXU+Rckix84XC9qp0unsc8SCMziSpHKBQccnnk6HTBHAa3v
Q4ywRjB4Zg0OK0zOLZgcyPX5Dc5N0TAv+5r10HnxzDdHfCnNap70WJehe1bR6FLXI15RkBc6LI4x
PsDr+owg964s8xMEkyzyZ2muoLeDvso3rhYKVeoViKRjdu7KQhh0UnT+TQ4AHeHa+LRTuGoj5SRw
62M3zm6NXLmD9yOsIK3bSu1Ps57UtgscyuOSAgvI8L4mAw7QCp30MTgq9fKUQtMi71RqOYF96Rs5
d7Rk3uB0ejr2GI2lwX2sG5gdUG+ttOGk7e1mNZQDiWNvniaKnU7NhINQAsdnBFT9DH0VZepJJ4/H
TalpKBCDpzXRNg67JLnQQHjNqNqhx9GV6gx3T6DejSNYMSrl+SRFIw0pStQLy1Wlq5TR5fDe6ohh
7L65sHLg4U6JSy782eokKdCRK7QOUCsdbDq8yyjGzcUhpybmdGs2lxEjO/fFrKUjM7CSpelnhw7R
llA+1DBiHHFue6EP/xcpI3pkv07HviIA32zTwxV/9mc2ZpM9qaqDl7ICv/ptS5BEDQVlBN0N3XnR
iH/FgusHDpkYGG3deYJ8kyO9ZmPaAZe5SgqnyZYCGlz5J11BAYT5KxcTgiAWTlciTbQUMKICGfQ2
F+tlyWvLMm3ORnpVBVveA5cQ2MnfEadlwOs/v5GB7K5ORRP9XVn/CZGjxKjrmKGeExkazg1qsvi0
JtgKjysbED3w8zpt9EN8NcZrmBgInZmKfhva5G55FtpHpTc4x4qV5LQcSqO/oJZzpQ0ZWZI5eFjV
tlFYad/bvjDti84t2hbJJhAMrY51qhlJ8XkXxmjOB3meqXOKcA36WRL2OZOgcim8RIMzFyh4eVal
D0asd2cW2ee53sg5GnE5mMRF5vYaRn0NhDihtGsFXaady61Q4G3j8Lysow50KmpIvnOhKfLGQLY3
5VJyK/mLBW4gRdbXEPq+qsxTYCwNss9dOMnc6JNDdxgKRFUT0BcoBMdD8cPHSJYy5pmCgnCjtde4
N3Ljwsr7ZkWwa4R2yqlk5SVkLsM8igMHnGpCX2pUIYNLkvZDD6t0pbu+fJbWBQzk1i0m5GRoEnf2
KfDXsyqFAzeqdkvIN6rLOrVuBkW6Q6qomKHPBeC6rj3VQkEe8SIPwdw5OCyss3UxBEQbJTLLm1Kv
tX5m2ql/VXmthIwxGBynl/s7Hcw9s4gYMGKklBJ1qRxmIdJ7hVmjOC8pytmbvXfxvGj/SBsU9Wn5
VP/zL1X0r39ay7iByrij6WwOlvX7tVwMZeF5uACccQGtOzKNaxTsJ8BUAQumKxci/Mybo5E7L+fc
4Ef6QptDBZtGf7PWjQ+Mfc2yRLGEygelDu6z958D3cCu8So/OyO0P8I7up9GCJyS1xCN0EFw5kXr
CqV7E2aaa8unnlW6RwrfkRkVyXSwEH5w8SC01fF73WfOolJpt9d1vnDt8btlIP0YuhTX3bG/LeIc
/+SywEmwguPYIzZH9kOHxvD7+aA5y06BweGOBJG2OxkNZzVqmAyr6hL1R2VS1CWLwgH9n6QrCvKz
TNNJC+V83nXeiepikRul0J5aoowkCaGeYkTa9Y62LDyBr9a8Gw8QnKIlp6RWMhlnvpQjFprlFFT3
5fD691/x+0PkRV5GxlZCR7rb1JyfDhFnVDsnT9zyTG6TcMlBAA+45G7HY35uZAFyzsXf6WFuFzh4
854/fZtS31plG3nVWeFp3wyXKAu0PvQOa6UnDbLzLk1Mk2qKhQK/EVPspUk2nIwoxEIgNk6ywL6T
A0q1UC1/YHVOOFcgsWheyu74YHjF96RDgrBIi/wZRfv/wZ388hFn63o9f3JIuWw25XC1qehDVq/O
h+KnTzv5S/af/dLvB3rxZvky5Jv/+df6MQnSWVDVZfBQv62dGobzMxT26TM9feDfDRGvaa81j4yt
WQeqoeO5rTigV3lx6uBt7r38mGPMOaAWy/UKaOTp9bTk38zRr2bh9w/4PJ2//51fPwESGsQuwJkO
H//nX8+V5w+g4H9nJhjnzVRQdybSURUqxE8vDsZ3U4HCAMUuwFEOm4iwat8mAVGt/2Q5vJ8E64BQ
zsZnRXueBM6w95OgHqhU3y04fPs4B1xZgKnfxbz/fCEQ8joavs+c01sXAnuCK9ICmf0cX+/bQhD3
9s6T4CCn4VC4U8SU8hLL5O3BIByiYHCZjoiF93A3EEmxdndcCfqBbKiqRlD4i5VgH6ArAllWAejI
i9NzL6fi5YM9yzb9eXf9zT3x/mCwBSeY5EcgPN8vBJndIDJE+AN7PQfPJ9Yuc0DCC2lEl391MHBD
QHxGoV3YGu/lQjB+btD+89PROgB+S2av/yJiUOUDDa4wUmLP77WHp+PzibXLSoDRjsG2g6nP9oOB
01HBahvwBVHEXq4E0Vff8XS0RaOeeEmgvMXrwxVBu94Wl4i+nwETN9vzB9thJQCAt0TCrorlIF4f
Aiadi1TXCJiez5893A6735P2AS6JJr4Lz3Mg4tAPdwTwCzaEIMnt8T35vFt3WA+aeYCiIbUTMqfn
109TIYJHG29MW6gz7uXJ8HJk7TYJHAwazhgvwePPWSV3BBAapNeEDNpeToK8eypFtCD8TnE6/GkJ
iMsBU2CLCdrTp9ef45ddloB1IOJiosKXc3FLNk1pXEGxfm/3wc6ZpE5ojGGPTr/j5yWgH9ACYHLo
gDy99nQhvBxSuywEDBV1jfyIpfD0+hAlqAeOYiiICe1rlKDsvhvUAwtsvsFEPE8Cwde7C1IxDhCu
5NYgxRKvfc0flOcTa5f1gK6mjIOmbL1UV36OFRQRVjom7MN9DZ0/OGz/J0kUl5/F8fhSWPgQNVJm
Q3yA9um+rgRhcrRj/qCxKYgJbfNXdTaKkQZlBRip+3o87p5EGQeok4uSwvPGF4/6/mTg/CS3oDT9
HKbvX/4gLrcdVwJlNDr5KHL84ngkYuKiZJbsfY2YlN0rruYB3zGz8Fps/HAw0orhZ0zSvq4Effcz
AbC+jligYf4qWlAoO4uaK3Ty/cwclJ23A2GjTvPBdtTnYEGUat6dCaRPiNajU2Pu60p4yet2iROo
MwoNSkN+KSrwfb+fBBUpSuAJlrDj28scUojG73YwshKICE2aEL+oJoiDUUPLCDbKXseNwmpnt6mg
U03IREUBStDro75bDxRWUG2ygILJe51SvfQGdtkadKpFyITqxvapUAHZgflAj2Nfzwf9M/IIzgdF
lwWpS7y2nA90qxAe2dN2vQGQ8BM2hSabKLWYv6qycJWgBEB/EtIar30NpF96RTtsCgrxdKSwYX1d
Dx9KLvIB7oi07pTnoH0PA+ndY0gCaWAJfy6HD90IDknyStvhjNzTS1MwN3e8KcwD03oGGD8fjx/C
J4A8sDDB4O1rNmHsHENq4o5QKCjxVT+9eNR316XoVVNyE+4ne7oSPgiZ//Myi2AFYwUDfu0XK4G6
HAKQOpHFvk7C7mcCfQhTpiVvP18B27IJfihzaDx3a/b2jngOZna4I9gUKjIKqLK+9KW2nAyoWNGT
2N+YYfe+lI2x0VPh7QXAsW0ScKFRUFp7fu3p1hAeYjveFKQMyNfRt35Jr1hh7w9JWajBCm/3fW1S
ac+7dZdNoQHokXF1eClAfqxA0soD4kHZaV9jBm33QNqGywTqE73Y5zX/YSWI8FL8h1qteO3rIfmy
UHdZD093IsIHosL/bjcoFk1LzUbV+qVrsa8Hw3NEs8sc0KQywHqDYfjzDHw3FURPuqzK9HafI7X9
SyaE5fKOpyM9ahC+fN0vtdifLwrWA0BAmctkTxfCC7Rgh4Ug4F34jNvqKx6eR32/EFT4kbRugbPs
6SRou+cSFjAGIeBK4vgaEfw8CSiVM00vndE93A27x47Uo6lG60KT/en1827gSFAdujeOs99htBA0
2vFggCBh0b6nH/fzbmC7WKDhwbbs6254bhbscCRoBr1IVEAJDJ8XAo/6fjfQnSGWAgW+t+fizhck
jQnYLwQD8MKfXh/KC3iI2VwfzNSergR99/RBP+AwEB2oX3RnqLahqEh/BprM02tfp2L3K0IUHsFy
CFr/0+vDpoAuhEyAIe9twCQI17udiwLuRwufW+Ll6/6QRAB149BkOezr8fhBMeKf19zAu1NM0uRf
USNECdqhumDKe9u33T2dBMuhoYBB82n7dniaBIF/fSHk/FsR07/xS38SlKd+ED8+UZODTbWNwfyr
X3jl5H78+RvO7RPz+N1vCqry85s/M3PF///fd8xl9Ykw++anrwTap3d6+fuXR/z45u/e7PW5Xv9x
FWzKdfngD08/GF4+6Nk6geH8fzH/9bj+mTEs+qev/7aFZv12Bfx+dHwCNq8D/UVHFizUvx71Jw73
vz14sn7MyteB3gzO6bHz4BPhk/Q6zpux+XA7jz1dx+uWr6R6HevN+IQeu4+Pjmj14Ssl7Cbn/YTB
07pc/zHNqnrbWxDy7vwWs038x1lWbp1/ruKdx5/Hf8yyksXzOtab+edO2nn8Rbmp0m2Dc6LvPPgy
3qTp6zhvPvhnbNdVk9xn8WP9cXjlMzbsYZJvymAdbxn+M7bsIbLyW4b+jB17vCm3zLnolO/8fR4H
qbflIBCAyZ3HPllHW84wQVr4hKGrarNtTj5jg55k1R//l3qbeLNtZj5ji56uHzmAX+fhr20kyF07
z83pGjeh13HejP0ZW1SMjVzklo8uMGS7f/RN+pg9BNtOLwHM+oTxy4fN4+tAf82NwPrsPnjGZ38d
583Yn7FNTzEG3zL0Z+xShsaScTNsGf4zdurZOt+2Wj5jn55t2vXH2BHk1mds0fNyzRGwZVI+Y4te
xOuHzZbYUdSkdl6HFyhcbgvuREd258GvAkLHKnjcMjOi2bnz+Nfrh5KUIK23LHfRSPyEN0j/mGxw
W9v2Bp+xVa/X4g3KdF0+bj3IROvnU55iFmy8bQ/xGbtWPMSCHfAQVA/b3uMztq94j6NsXTTbbivt
M/aweIeTJqj+OL8Pqnzbc3zGZhbvcrquN9vG/4z9zPj1+o/Jurxfb4sZRKX0M9YT7zGNt7/D52xs
8RTTshlfP+5fV6TAG+/+CP56a06of8qmpoaxdfI/ZTMHVYTzX/M6CW8m5lP2chavt0UPota7+6wT
mCRbLngBD9x98HqdBlW8bqrXwd5Mzads3d/ZUT9p2O1Qffqy8dfbpkYQT3aemt87hu780RtOgi1X
vJBE2P2j/95oZtfP/nvh5F1H/5bFW8550bXdeV6+NfdbNpIAG//N0NvKsn8KIH4s1r6qO277s/e1
aPEbD/FmXf7v/wMAAP//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7.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9</xdr:col>
      <xdr:colOff>440764</xdr:colOff>
      <xdr:row>50</xdr:row>
      <xdr:rowOff>164353</xdr:rowOff>
    </xdr:from>
    <xdr:to>
      <xdr:col>10</xdr:col>
      <xdr:colOff>71717</xdr:colOff>
      <xdr:row>61</xdr:row>
      <xdr:rowOff>82176</xdr:rowOff>
    </xdr:to>
    <xdr:sp macro="" textlink="">
      <xdr:nvSpPr>
        <xdr:cNvPr id="3" name="Cylinder 2">
          <a:extLst>
            <a:ext uri="{FF2B5EF4-FFF2-40B4-BE49-F238E27FC236}">
              <a16:creationId xmlns:a16="http://schemas.microsoft.com/office/drawing/2014/main" id="{FF3FF980-5F53-48A0-93AF-37CE1D37E988}"/>
            </a:ext>
          </a:extLst>
        </xdr:cNvPr>
        <xdr:cNvSpPr/>
      </xdr:nvSpPr>
      <xdr:spPr>
        <a:xfrm>
          <a:off x="9465235" y="8755529"/>
          <a:ext cx="303306" cy="1807882"/>
        </a:xfrm>
        <a:prstGeom prst="can">
          <a:avLst/>
        </a:prstGeom>
        <a:effectLst>
          <a:outerShdw blurRad="50800" dist="38100" dir="18900000" algn="b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27</xdr:col>
      <xdr:colOff>518160</xdr:colOff>
      <xdr:row>80</xdr:row>
      <xdr:rowOff>30480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94560" y="0"/>
          <a:ext cx="15758160" cy="1466088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80</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173941" cy="14343529"/>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1</xdr:col>
      <xdr:colOff>180179</xdr:colOff>
      <xdr:row>8</xdr:row>
      <xdr:rowOff>26499</xdr:rowOff>
    </xdr:from>
    <xdr:to>
      <xdr:col>1</xdr:col>
      <xdr:colOff>1555216</xdr:colOff>
      <xdr:row>11</xdr:row>
      <xdr:rowOff>54429</xdr:rowOff>
    </xdr:to>
    <xdr:sp macro="" textlink="Pivot!G4">
      <xdr:nvSpPr>
        <xdr:cNvPr id="5" name="TextBox 4">
          <a:extLst>
            <a:ext uri="{FF2B5EF4-FFF2-40B4-BE49-F238E27FC236}">
              <a16:creationId xmlns:a16="http://schemas.microsoft.com/office/drawing/2014/main" id="{857F10CA-7774-410A-BF64-75DD3663C97B}"/>
            </a:ext>
          </a:extLst>
        </xdr:cNvPr>
        <xdr:cNvSpPr txBox="1"/>
      </xdr:nvSpPr>
      <xdr:spPr>
        <a:xfrm>
          <a:off x="426708" y="1460852"/>
          <a:ext cx="1375037" cy="56581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C7B24F3B-569A-4189-8BEF-D6EBA723AA13}" type="TxLink">
            <a:rPr lang="en-US" sz="2000" b="1" i="0" u="none" strike="noStrike">
              <a:solidFill>
                <a:srgbClr val="000000"/>
              </a:solidFill>
              <a:latin typeface="Aptos Narrow"/>
            </a:rPr>
            <a:pPr algn="ctr"/>
            <a:t>2,400</a:t>
          </a:fld>
          <a:endParaRPr lang="en-US" sz="2000" b="1"/>
        </a:p>
      </xdr:txBody>
    </xdr:sp>
    <xdr:clientData/>
  </xdr:twoCellAnchor>
  <xdr:twoCellAnchor>
    <xdr:from>
      <xdr:col>1</xdr:col>
      <xdr:colOff>140874</xdr:colOff>
      <xdr:row>17</xdr:row>
      <xdr:rowOff>85645</xdr:rowOff>
    </xdr:from>
    <xdr:to>
      <xdr:col>1</xdr:col>
      <xdr:colOff>1515911</xdr:colOff>
      <xdr:row>20</xdr:row>
      <xdr:rowOff>113575</xdr:rowOff>
    </xdr:to>
    <xdr:sp macro="" textlink="Pivot!H4">
      <xdr:nvSpPr>
        <xdr:cNvPr id="6" name="TextBox 5">
          <a:extLst>
            <a:ext uri="{FF2B5EF4-FFF2-40B4-BE49-F238E27FC236}">
              <a16:creationId xmlns:a16="http://schemas.microsoft.com/office/drawing/2014/main" id="{BB1AA0B7-F9CB-4C4B-B6BB-74FF473EE830}"/>
            </a:ext>
          </a:extLst>
        </xdr:cNvPr>
        <xdr:cNvSpPr txBox="1"/>
      </xdr:nvSpPr>
      <xdr:spPr>
        <a:xfrm>
          <a:off x="387403" y="3133645"/>
          <a:ext cx="1375037" cy="56581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6A42E532-499B-49D7-A2F4-A7026DDC12C6}" type="TxLink">
            <a:rPr lang="en-US" sz="2000" b="1" i="0" u="none" strike="noStrike">
              <a:solidFill>
                <a:srgbClr val="000000"/>
              </a:solidFill>
              <a:latin typeface="Aptos Narrow"/>
            </a:rPr>
            <a:pPr algn="ctr"/>
            <a:t>$649.0k</a:t>
          </a:fld>
          <a:endParaRPr lang="en-US" sz="2000" b="1"/>
        </a:p>
      </xdr:txBody>
    </xdr:sp>
    <xdr:clientData/>
  </xdr:twoCellAnchor>
  <xdr:twoCellAnchor>
    <xdr:from>
      <xdr:col>1</xdr:col>
      <xdr:colOff>127267</xdr:colOff>
      <xdr:row>26</xdr:row>
      <xdr:rowOff>172089</xdr:rowOff>
    </xdr:from>
    <xdr:to>
      <xdr:col>1</xdr:col>
      <xdr:colOff>1502304</xdr:colOff>
      <xdr:row>30</xdr:row>
      <xdr:rowOff>23126</xdr:rowOff>
    </xdr:to>
    <xdr:sp macro="" textlink="Pivot!I4">
      <xdr:nvSpPr>
        <xdr:cNvPr id="7" name="TextBox 6">
          <a:extLst>
            <a:ext uri="{FF2B5EF4-FFF2-40B4-BE49-F238E27FC236}">
              <a16:creationId xmlns:a16="http://schemas.microsoft.com/office/drawing/2014/main" id="{B011A72B-F095-42EB-9D3E-339120F14355}"/>
            </a:ext>
          </a:extLst>
        </xdr:cNvPr>
        <xdr:cNvSpPr txBox="1"/>
      </xdr:nvSpPr>
      <xdr:spPr>
        <a:xfrm>
          <a:off x="373796" y="4833736"/>
          <a:ext cx="1375037" cy="56821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47325F22-5428-42A4-BB0E-759435B31650}" type="TxLink">
            <a:rPr lang="en-US" sz="2000" b="1" i="0" u="none" strike="noStrike">
              <a:solidFill>
                <a:srgbClr val="000000"/>
              </a:solidFill>
              <a:latin typeface="Aptos Narrow"/>
            </a:rPr>
            <a:pPr algn="ctr"/>
            <a:t>11,997</a:t>
          </a:fld>
          <a:endParaRPr lang="en-US" sz="2000" b="1"/>
        </a:p>
      </xdr:txBody>
    </xdr:sp>
    <xdr:clientData/>
  </xdr:twoCellAnchor>
  <xdr:twoCellAnchor>
    <xdr:from>
      <xdr:col>1</xdr:col>
      <xdr:colOff>163285</xdr:colOff>
      <xdr:row>35</xdr:row>
      <xdr:rowOff>117661</xdr:rowOff>
    </xdr:from>
    <xdr:to>
      <xdr:col>1</xdr:col>
      <xdr:colOff>1538322</xdr:colOff>
      <xdr:row>38</xdr:row>
      <xdr:rowOff>145592</xdr:rowOff>
    </xdr:to>
    <xdr:sp macro="" textlink="Pivot!J4">
      <xdr:nvSpPr>
        <xdr:cNvPr id="8" name="TextBox 7">
          <a:extLst>
            <a:ext uri="{FF2B5EF4-FFF2-40B4-BE49-F238E27FC236}">
              <a16:creationId xmlns:a16="http://schemas.microsoft.com/office/drawing/2014/main" id="{05396538-6C29-466E-97C0-1540413CC6E7}"/>
            </a:ext>
          </a:extLst>
        </xdr:cNvPr>
        <xdr:cNvSpPr txBox="1"/>
      </xdr:nvSpPr>
      <xdr:spPr>
        <a:xfrm>
          <a:off x="409814" y="6392955"/>
          <a:ext cx="1375037" cy="56581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BF9F85C0-013A-48E5-A4C3-7C65A21BCB4B}" type="TxLink">
            <a:rPr lang="en-US" sz="2000" b="1" i="0" u="none" strike="noStrike">
              <a:solidFill>
                <a:srgbClr val="000000"/>
              </a:solidFill>
              <a:latin typeface="Aptos Narrow"/>
            </a:rPr>
            <a:pPr algn="ctr"/>
            <a:t>4.0</a:t>
          </a:fld>
          <a:endParaRPr lang="en-US" sz="2000" b="1"/>
        </a:p>
      </xdr:txBody>
    </xdr:sp>
    <xdr:clientData/>
  </xdr:twoCellAnchor>
  <xdr:twoCellAnchor>
    <xdr:from>
      <xdr:col>1</xdr:col>
      <xdr:colOff>136871</xdr:colOff>
      <xdr:row>44</xdr:row>
      <xdr:rowOff>152881</xdr:rowOff>
    </xdr:from>
    <xdr:to>
      <xdr:col>1</xdr:col>
      <xdr:colOff>1511908</xdr:colOff>
      <xdr:row>48</xdr:row>
      <xdr:rowOff>1518</xdr:rowOff>
    </xdr:to>
    <xdr:sp macro="" textlink="Pivot!K4">
      <xdr:nvSpPr>
        <xdr:cNvPr id="9" name="TextBox 8">
          <a:extLst>
            <a:ext uri="{FF2B5EF4-FFF2-40B4-BE49-F238E27FC236}">
              <a16:creationId xmlns:a16="http://schemas.microsoft.com/office/drawing/2014/main" id="{13DF251B-33A0-4357-AC5F-A85E7E553F7A}"/>
            </a:ext>
          </a:extLst>
        </xdr:cNvPr>
        <xdr:cNvSpPr txBox="1"/>
      </xdr:nvSpPr>
      <xdr:spPr>
        <a:xfrm>
          <a:off x="383400" y="8041822"/>
          <a:ext cx="1375037" cy="56581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17087497-5415-4B1C-96DD-C35015FD3E67}" type="TxLink">
            <a:rPr lang="en-US" sz="2000" b="1" i="0" u="none" strike="noStrike">
              <a:solidFill>
                <a:srgbClr val="000000"/>
              </a:solidFill>
              <a:latin typeface="Aptos Narrow"/>
            </a:rPr>
            <a:pPr algn="ctr"/>
            <a:t>2.3</a:t>
          </a:fld>
          <a:endParaRPr lang="en-US" sz="2000" b="1"/>
        </a:p>
      </xdr:txBody>
    </xdr:sp>
    <xdr:clientData/>
  </xdr:twoCellAnchor>
  <xdr:twoCellAnchor>
    <xdr:from>
      <xdr:col>1</xdr:col>
      <xdr:colOff>262536</xdr:colOff>
      <xdr:row>4</xdr:row>
      <xdr:rowOff>104055</xdr:rowOff>
    </xdr:from>
    <xdr:to>
      <xdr:col>1</xdr:col>
      <xdr:colOff>1432751</xdr:colOff>
      <xdr:row>6</xdr:row>
      <xdr:rowOff>117662</xdr:rowOff>
    </xdr:to>
    <xdr:sp macro="" textlink="">
      <xdr:nvSpPr>
        <xdr:cNvPr id="12" name="TextBox 11">
          <a:extLst>
            <a:ext uri="{FF2B5EF4-FFF2-40B4-BE49-F238E27FC236}">
              <a16:creationId xmlns:a16="http://schemas.microsoft.com/office/drawing/2014/main" id="{4C12C7C2-7B79-490D-B496-240050B36937}"/>
            </a:ext>
          </a:extLst>
        </xdr:cNvPr>
        <xdr:cNvSpPr txBox="1"/>
      </xdr:nvSpPr>
      <xdr:spPr>
        <a:xfrm>
          <a:off x="509065" y="821231"/>
          <a:ext cx="1170215" cy="372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🛒Orders</a:t>
          </a:r>
        </a:p>
      </xdr:txBody>
    </xdr:sp>
    <xdr:clientData/>
  </xdr:twoCellAnchor>
  <xdr:twoCellAnchor>
    <xdr:from>
      <xdr:col>1</xdr:col>
      <xdr:colOff>231322</xdr:colOff>
      <xdr:row>13</xdr:row>
      <xdr:rowOff>112858</xdr:rowOff>
    </xdr:from>
    <xdr:to>
      <xdr:col>1</xdr:col>
      <xdr:colOff>1401537</xdr:colOff>
      <xdr:row>15</xdr:row>
      <xdr:rowOff>126465</xdr:rowOff>
    </xdr:to>
    <xdr:sp macro="" textlink="">
      <xdr:nvSpPr>
        <xdr:cNvPr id="13" name="TextBox 12">
          <a:extLst>
            <a:ext uri="{FF2B5EF4-FFF2-40B4-BE49-F238E27FC236}">
              <a16:creationId xmlns:a16="http://schemas.microsoft.com/office/drawing/2014/main" id="{1FA85367-2FE3-46A0-A2E7-DEC06806B1EA}"/>
            </a:ext>
          </a:extLst>
        </xdr:cNvPr>
        <xdr:cNvSpPr txBox="1"/>
      </xdr:nvSpPr>
      <xdr:spPr>
        <a:xfrm>
          <a:off x="477851" y="2443682"/>
          <a:ext cx="1170215" cy="37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💰Amount</a:t>
          </a:r>
        </a:p>
      </xdr:txBody>
    </xdr:sp>
    <xdr:clientData/>
  </xdr:twoCellAnchor>
  <xdr:twoCellAnchor>
    <xdr:from>
      <xdr:col>1</xdr:col>
      <xdr:colOff>186497</xdr:colOff>
      <xdr:row>23</xdr:row>
      <xdr:rowOff>5603</xdr:rowOff>
    </xdr:from>
    <xdr:to>
      <xdr:col>1</xdr:col>
      <xdr:colOff>1424747</xdr:colOff>
      <xdr:row>25</xdr:row>
      <xdr:rowOff>60031</xdr:rowOff>
    </xdr:to>
    <xdr:sp macro="" textlink="">
      <xdr:nvSpPr>
        <xdr:cNvPr id="14" name="TextBox 13">
          <a:extLst>
            <a:ext uri="{FF2B5EF4-FFF2-40B4-BE49-F238E27FC236}">
              <a16:creationId xmlns:a16="http://schemas.microsoft.com/office/drawing/2014/main" id="{710454EB-3375-4854-A5B5-3472A332F441}"/>
            </a:ext>
          </a:extLst>
        </xdr:cNvPr>
        <xdr:cNvSpPr txBox="1"/>
      </xdr:nvSpPr>
      <xdr:spPr>
        <a:xfrm>
          <a:off x="433026" y="4129368"/>
          <a:ext cx="1238250" cy="413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👕Quantity</a:t>
          </a:r>
        </a:p>
      </xdr:txBody>
    </xdr:sp>
    <xdr:clientData/>
  </xdr:twoCellAnchor>
  <xdr:twoCellAnchor>
    <xdr:from>
      <xdr:col>1</xdr:col>
      <xdr:colOff>109657</xdr:colOff>
      <xdr:row>32</xdr:row>
      <xdr:rowOff>27215</xdr:rowOff>
    </xdr:from>
    <xdr:to>
      <xdr:col>1</xdr:col>
      <xdr:colOff>1552015</xdr:colOff>
      <xdr:row>34</xdr:row>
      <xdr:rowOff>54429</xdr:rowOff>
    </xdr:to>
    <xdr:sp macro="" textlink="">
      <xdr:nvSpPr>
        <xdr:cNvPr id="15" name="TextBox 14">
          <a:extLst>
            <a:ext uri="{FF2B5EF4-FFF2-40B4-BE49-F238E27FC236}">
              <a16:creationId xmlns:a16="http://schemas.microsoft.com/office/drawing/2014/main" id="{724CA098-8A3F-48EF-910A-AE87419D92BC}"/>
            </a:ext>
          </a:extLst>
        </xdr:cNvPr>
        <xdr:cNvSpPr txBox="1"/>
      </xdr:nvSpPr>
      <xdr:spPr>
        <a:xfrm>
          <a:off x="356186" y="5764627"/>
          <a:ext cx="1442358" cy="3858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⭐Avg. Rating</a:t>
          </a:r>
        </a:p>
      </xdr:txBody>
    </xdr:sp>
    <xdr:clientData/>
  </xdr:twoCellAnchor>
  <xdr:twoCellAnchor>
    <xdr:from>
      <xdr:col>0</xdr:col>
      <xdr:colOff>163286</xdr:colOff>
      <xdr:row>41</xdr:row>
      <xdr:rowOff>51227</xdr:rowOff>
    </xdr:from>
    <xdr:to>
      <xdr:col>2</xdr:col>
      <xdr:colOff>54429</xdr:colOff>
      <xdr:row>43</xdr:row>
      <xdr:rowOff>80842</xdr:rowOff>
    </xdr:to>
    <xdr:sp macro="" textlink="">
      <xdr:nvSpPr>
        <xdr:cNvPr id="16" name="TextBox 15">
          <a:extLst>
            <a:ext uri="{FF2B5EF4-FFF2-40B4-BE49-F238E27FC236}">
              <a16:creationId xmlns:a16="http://schemas.microsoft.com/office/drawing/2014/main" id="{4AE81501-8DCF-4010-ABDC-1269FB443505}"/>
            </a:ext>
          </a:extLst>
        </xdr:cNvPr>
        <xdr:cNvSpPr txBox="1"/>
      </xdr:nvSpPr>
      <xdr:spPr>
        <a:xfrm>
          <a:off x="163286" y="7402286"/>
          <a:ext cx="1818555" cy="3882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📆Days to Deliver</a:t>
          </a:r>
        </a:p>
      </xdr:txBody>
    </xdr:sp>
    <xdr:clientData/>
  </xdr:twoCellAnchor>
  <xdr:twoCellAnchor>
    <xdr:from>
      <xdr:col>4</xdr:col>
      <xdr:colOff>215054</xdr:colOff>
      <xdr:row>1</xdr:row>
      <xdr:rowOff>142241</xdr:rowOff>
    </xdr:from>
    <xdr:to>
      <xdr:col>11</xdr:col>
      <xdr:colOff>575733</xdr:colOff>
      <xdr:row>20</xdr:row>
      <xdr:rowOff>50800</xdr:rowOff>
    </xdr:to>
    <xdr:graphicFrame macro="">
      <xdr:nvGraphicFramePr>
        <xdr:cNvPr id="17" name="Chart 16">
          <a:extLst>
            <a:ext uri="{FF2B5EF4-FFF2-40B4-BE49-F238E27FC236}">
              <a16:creationId xmlns:a16="http://schemas.microsoft.com/office/drawing/2014/main" id="{A22BB99C-45C8-4820-A793-99ADEFA5D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274012</xdr:colOff>
      <xdr:row>2</xdr:row>
      <xdr:rowOff>15392</xdr:rowOff>
    </xdr:from>
    <xdr:to>
      <xdr:col>19</xdr:col>
      <xdr:colOff>135467</xdr:colOff>
      <xdr:row>20</xdr:row>
      <xdr:rowOff>33865</xdr:rowOff>
    </xdr:to>
    <xdr:sp macro="" textlink="">
      <xdr:nvSpPr>
        <xdr:cNvPr id="10" name="Rectangle 9">
          <a:extLst>
            <a:ext uri="{FF2B5EF4-FFF2-40B4-BE49-F238E27FC236}">
              <a16:creationId xmlns:a16="http://schemas.microsoft.com/office/drawing/2014/main" id="{7E942BEE-9454-4F11-827E-0EE05584702E}"/>
            </a:ext>
          </a:extLst>
        </xdr:cNvPr>
        <xdr:cNvSpPr/>
      </xdr:nvSpPr>
      <xdr:spPr>
        <a:xfrm>
          <a:off x="8148012" y="354059"/>
          <a:ext cx="4602788" cy="3066473"/>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12</xdr:col>
          <xdr:colOff>621607</xdr:colOff>
          <xdr:row>5</xdr:row>
          <xdr:rowOff>0</xdr:rowOff>
        </xdr:from>
        <xdr:to>
          <xdr:col>18</xdr:col>
          <xdr:colOff>545150</xdr:colOff>
          <xdr:row>17</xdr:row>
          <xdr:rowOff>84667</xdr:rowOff>
        </xdr:to>
        <xdr:pic>
          <xdr:nvPicPr>
            <xdr:cNvPr id="19" name="Picture 18">
              <a:extLst>
                <a:ext uri="{FF2B5EF4-FFF2-40B4-BE49-F238E27FC236}">
                  <a16:creationId xmlns:a16="http://schemas.microsoft.com/office/drawing/2014/main" id="{815DD8BF-CBA6-4B1A-B239-DA9922A2046C}"/>
                </a:ext>
              </a:extLst>
            </xdr:cNvPr>
            <xdr:cNvPicPr>
              <a:picLocks noChangeAspect="1" noChangeArrowheads="1"/>
              <a:extLst>
                <a:ext uri="{84589F7E-364E-4C9E-8A38-B11213B215E9}">
                  <a14:cameraTool cellRange="Pivot2!$H$4:$L$9" spid="_x0000_s1040"/>
                </a:ext>
              </a:extLst>
            </xdr:cNvPicPr>
          </xdr:nvPicPr>
          <xdr:blipFill>
            <a:blip xmlns:r="http://schemas.openxmlformats.org/officeDocument/2006/relationships" r:embed="rId3"/>
            <a:srcRect/>
            <a:stretch>
              <a:fillRect/>
            </a:stretch>
          </xdr:blipFill>
          <xdr:spPr bwMode="auto">
            <a:xfrm>
              <a:off x="8495607" y="846667"/>
              <a:ext cx="3987543" cy="21166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508001</xdr:colOff>
      <xdr:row>2</xdr:row>
      <xdr:rowOff>50799</xdr:rowOff>
    </xdr:from>
    <xdr:to>
      <xdr:col>27</xdr:col>
      <xdr:colOff>220133</xdr:colOff>
      <xdr:row>20</xdr:row>
      <xdr:rowOff>67733</xdr:rowOff>
    </xdr:to>
    <xdr:graphicFrame macro="">
      <xdr:nvGraphicFramePr>
        <xdr:cNvPr id="20" name="Chart 19">
          <a:extLst>
            <a:ext uri="{FF2B5EF4-FFF2-40B4-BE49-F238E27FC236}">
              <a16:creationId xmlns:a16="http://schemas.microsoft.com/office/drawing/2014/main" id="{694BF0AD-AB47-4654-BF68-BFF896A10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213360</xdr:colOff>
      <xdr:row>21</xdr:row>
      <xdr:rowOff>118533</xdr:rowOff>
    </xdr:from>
    <xdr:to>
      <xdr:col>12</xdr:col>
      <xdr:colOff>50800</xdr:colOff>
      <xdr:row>45</xdr:row>
      <xdr:rowOff>84667</xdr:rowOff>
    </xdr:to>
    <xdr:graphicFrame macro="">
      <xdr:nvGraphicFramePr>
        <xdr:cNvPr id="21" name="Chart 20">
          <a:extLst>
            <a:ext uri="{FF2B5EF4-FFF2-40B4-BE49-F238E27FC236}">
              <a16:creationId xmlns:a16="http://schemas.microsoft.com/office/drawing/2014/main" id="{800A62D4-A9B1-425E-BC3F-E791A3E82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281093</xdr:colOff>
      <xdr:row>21</xdr:row>
      <xdr:rowOff>152399</xdr:rowOff>
    </xdr:from>
    <xdr:to>
      <xdr:col>19</xdr:col>
      <xdr:colOff>254000</xdr:colOff>
      <xdr:row>45</xdr:row>
      <xdr:rowOff>118532</xdr:rowOff>
    </xdr:to>
    <xdr:graphicFrame macro="">
      <xdr:nvGraphicFramePr>
        <xdr:cNvPr id="23" name="Chart 22">
          <a:extLst>
            <a:ext uri="{FF2B5EF4-FFF2-40B4-BE49-F238E27FC236}">
              <a16:creationId xmlns:a16="http://schemas.microsoft.com/office/drawing/2014/main" id="{B2121C3F-200A-4E83-8F45-45843D2B4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220135</xdr:colOff>
      <xdr:row>46</xdr:row>
      <xdr:rowOff>152400</xdr:rowOff>
    </xdr:from>
    <xdr:to>
      <xdr:col>12</xdr:col>
      <xdr:colOff>50800</xdr:colOff>
      <xdr:row>77</xdr:row>
      <xdr:rowOff>101600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ABF0FE4D-AB28-47CE-9C78-68BF6100C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675468" y="7941733"/>
              <a:ext cx="5249332" cy="51985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101599</xdr:colOff>
      <xdr:row>53</xdr:row>
      <xdr:rowOff>-1</xdr:rowOff>
    </xdr:from>
    <xdr:to>
      <xdr:col>11</xdr:col>
      <xdr:colOff>507999</xdr:colOff>
      <xdr:row>63</xdr:row>
      <xdr:rowOff>118533</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CC2DD8C8-9221-4BDB-8747-2F9A31F1B3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43599" y="8974666"/>
              <a:ext cx="1761067" cy="18118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518160</xdr:colOff>
      <xdr:row>22</xdr:row>
      <xdr:rowOff>1</xdr:rowOff>
    </xdr:from>
    <xdr:to>
      <xdr:col>27</xdr:col>
      <xdr:colOff>254000</xdr:colOff>
      <xdr:row>45</xdr:row>
      <xdr:rowOff>50800</xdr:rowOff>
    </xdr:to>
    <xdr:graphicFrame macro="">
      <xdr:nvGraphicFramePr>
        <xdr:cNvPr id="28" name="Chart 27">
          <a:extLst>
            <a:ext uri="{FF2B5EF4-FFF2-40B4-BE49-F238E27FC236}">
              <a16:creationId xmlns:a16="http://schemas.microsoft.com/office/drawing/2014/main" id="{3A44651D-A4A8-44E2-B489-CECB08CE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264160</xdr:colOff>
      <xdr:row>47</xdr:row>
      <xdr:rowOff>-1</xdr:rowOff>
    </xdr:from>
    <xdr:to>
      <xdr:col>27</xdr:col>
      <xdr:colOff>220133</xdr:colOff>
      <xdr:row>77</xdr:row>
      <xdr:rowOff>67733</xdr:rowOff>
    </xdr:to>
    <xdr:graphicFrame macro="">
      <xdr:nvGraphicFramePr>
        <xdr:cNvPr id="29" name="Chart 28">
          <a:extLst>
            <a:ext uri="{FF2B5EF4-FFF2-40B4-BE49-F238E27FC236}">
              <a16:creationId xmlns:a16="http://schemas.microsoft.com/office/drawing/2014/main" id="{487B2F73-6EB1-4D15-8136-04A69FADF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228262</xdr:colOff>
      <xdr:row>52</xdr:row>
      <xdr:rowOff>61757</xdr:rowOff>
    </xdr:from>
    <xdr:to>
      <xdr:col>2</xdr:col>
      <xdr:colOff>45322</xdr:colOff>
      <xdr:row>63</xdr:row>
      <xdr:rowOff>112557</xdr:rowOff>
    </xdr:to>
    <mc:AlternateContent xmlns:mc="http://schemas.openxmlformats.org/markup-compatibility/2006">
      <mc:Choice xmlns:a14="http://schemas.microsoft.com/office/drawing/2010/main" Requires="a14">
        <xdr:graphicFrame macro="">
          <xdr:nvGraphicFramePr>
            <xdr:cNvPr id="30" name="Order Mode">
              <a:extLst>
                <a:ext uri="{FF2B5EF4-FFF2-40B4-BE49-F238E27FC236}">
                  <a16:creationId xmlns:a16="http://schemas.microsoft.com/office/drawing/2014/main" id="{5935291B-5928-4281-B57D-ACD579D261F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28262" y="9118671"/>
              <a:ext cx="1776489" cy="1966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211329</xdr:colOff>
      <xdr:row>67</xdr:row>
      <xdr:rowOff>17431</xdr:rowOff>
    </xdr:from>
    <xdr:to>
      <xdr:col>2</xdr:col>
      <xdr:colOff>62255</xdr:colOff>
      <xdr:row>77</xdr:row>
      <xdr:rowOff>51298</xdr:rowOff>
    </xdr:to>
    <mc:AlternateContent xmlns:mc="http://schemas.openxmlformats.org/markup-compatibility/2006">
      <mc:Choice xmlns:a14="http://schemas.microsoft.com/office/drawing/2010/main" Requires="a14">
        <xdr:graphicFrame macro="">
          <xdr:nvGraphicFramePr>
            <xdr:cNvPr id="31" name="Gender Value">
              <a:extLst>
                <a:ext uri="{FF2B5EF4-FFF2-40B4-BE49-F238E27FC236}">
                  <a16:creationId xmlns:a16="http://schemas.microsoft.com/office/drawing/2014/main" id="{500B69AD-10B0-4E39-93F3-42807670A82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11329" y="11686917"/>
              <a:ext cx="1810355" cy="1775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272143</xdr:colOff>
      <xdr:row>2</xdr:row>
      <xdr:rowOff>0</xdr:rowOff>
    </xdr:from>
    <xdr:to>
      <xdr:col>17</xdr:col>
      <xdr:colOff>326571</xdr:colOff>
      <xdr:row>3</xdr:row>
      <xdr:rowOff>108857</xdr:rowOff>
    </xdr:to>
    <xdr:sp macro="" textlink="">
      <xdr:nvSpPr>
        <xdr:cNvPr id="11" name="TextBox 10">
          <a:extLst>
            <a:ext uri="{FF2B5EF4-FFF2-40B4-BE49-F238E27FC236}">
              <a16:creationId xmlns:a16="http://schemas.microsoft.com/office/drawing/2014/main" id="{DE5F1432-F6B1-40F1-9EBC-5B3480ACA09C}"/>
            </a:ext>
          </a:extLst>
        </xdr:cNvPr>
        <xdr:cNvSpPr txBox="1"/>
      </xdr:nvSpPr>
      <xdr:spPr>
        <a:xfrm>
          <a:off x="9434286" y="362857"/>
          <a:ext cx="2068285" cy="290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How they like to Buy?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6.032665625004" createdVersion="7" refreshedVersion="7" minRefreshableVersion="3" recordCount="2400" xr:uid="{7FDD1B21-F8F7-4034-9948-45778A073AB9}">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84298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751D3-6D26-40FC-9C68-1F97C369ED33}" name="pvtRating"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168:G173"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10" series="1">
      <pivotArea type="data" outline="0" fieldPosition="0">
        <references count="2">
          <reference field="4294967294" count="1" selected="0">
            <x v="0"/>
          </reference>
          <reference field="9" count="1" selected="0">
            <x v="0"/>
          </reference>
        </references>
      </pivotArea>
    </chartFormat>
    <chartFormat chart="19" format="11" series="1">
      <pivotArea type="data" outline="0" fieldPosition="0">
        <references count="2">
          <reference field="4294967294" count="1" selected="0">
            <x v="0"/>
          </reference>
          <reference field="9" count="1" selected="0">
            <x v="1"/>
          </reference>
        </references>
      </pivotArea>
    </chartFormat>
    <chartFormat chart="19" format="12" series="1">
      <pivotArea type="data" outline="0" fieldPosition="0">
        <references count="2">
          <reference field="4294967294" count="1" selected="0">
            <x v="0"/>
          </reference>
          <reference field="9" count="1" selected="0">
            <x v="2"/>
          </reference>
        </references>
      </pivotArea>
    </chartFormat>
    <chartFormat chart="19" format="13" series="1">
      <pivotArea type="data" outline="0" fieldPosition="0">
        <references count="2">
          <reference field="4294967294" count="1" selected="0">
            <x v="0"/>
          </reference>
          <reference field="9" count="1" selected="0">
            <x v="3"/>
          </reference>
        </references>
      </pivotArea>
    </chartFormat>
    <chartFormat chart="19"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9BD53-151C-43DF-85F0-3E40CC8F5071}" name="pvtDuration"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147:B163"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587AC-C86F-4B8A-A494-AA2F74C186B2}" name="pvtMap"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2">
  <location ref="A83:D141"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812333-98A4-452E-B3ED-E374A9F97C28}" name="pvtTrend"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0:C24"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64"/>
    <dataField name="Sum of Quantity" fld="2"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056030-CF3E-4CE3-8710-1A03A0C9E4F1}" name="pvtSummary"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Sum of Quantity" fld="2"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8920A8-9434-4341-8B5B-DBBE378AA3CF}" name="pvtGender"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72:B77" firstHeaderRow="1"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3"/>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4" count="1" selected="0">
            <x v="0"/>
          </reference>
        </references>
      </pivotArea>
    </chartFormat>
    <chartFormat chart="10" format="3">
      <pivotArea type="data" outline="0" fieldPosition="0">
        <references count="2">
          <reference field="4294967294" count="1" selected="0">
            <x v="0"/>
          </reference>
          <reference field="14" count="1" selected="0">
            <x v="1"/>
          </reference>
        </references>
      </pivotArea>
    </chartFormat>
    <chartFormat chart="10" format="4">
      <pivotArea type="data" outline="0" fieldPosition="0">
        <references count="2">
          <reference field="4294967294" count="1" selected="0">
            <x v="0"/>
          </reference>
          <reference field="14" count="1" selected="0">
            <x v="2"/>
          </reference>
        </references>
      </pivotArea>
    </chartFormat>
    <chartFormat chart="10" format="5">
      <pivotArea type="data" outline="0" fieldPosition="0">
        <references count="2">
          <reference field="4294967294" count="1" selected="0">
            <x v="0"/>
          </reference>
          <reference field="1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0"/>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2"/>
          </reference>
        </references>
      </pivotArea>
    </chartFormat>
    <chartFormat chart="1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4DECED-2C94-4FAC-97B5-748C2E1B67E9}" name="pvtProduct"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46:F68" firstHeaderRow="1" firstDataRow="2" firstDataCol="1"/>
  <pivotFields count="17">
    <pivotField dataField="1"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Fields count="1">
    <field x="14"/>
  </colFields>
  <colItems count="5">
    <i>
      <x/>
    </i>
    <i>
      <x v="1"/>
    </i>
    <i>
      <x v="2"/>
    </i>
    <i>
      <x v="3"/>
    </i>
    <i t="grand">
      <x/>
    </i>
  </colItems>
  <dataFields count="1">
    <dataField name="Count of TX ID" fld="0" subtotal="count" baseField="0" baseItem="0"/>
  </dataFields>
  <chartFormats count="8">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A5FBD3-CDBD-46ED-82B1-CF2E63FF0D19}" name="pvtQty"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2:B40"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431D7F-D47F-4988-9FD1-966E7DD052DB}" name="pvtMatrix"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96F5620-02D2-4342-A5CE-2B64DBDA7696}" sourceName="Order Mode">
  <pivotTables>
    <pivotTable tabId="6" name="pvtRating"/>
    <pivotTable tabId="6" name="pvtDuration"/>
    <pivotTable tabId="6" name="pvtGender"/>
    <pivotTable tabId="6" name="pvtMap"/>
    <pivotTable tabId="6" name="pvtProduct"/>
    <pivotTable tabId="6" name="pvtQty"/>
    <pivotTable tabId="6" name="pvtSummary"/>
    <pivotTable tabId="6" name="pvtTrend"/>
    <pivotTable tabId="7" name="pvtMatrix"/>
  </pivotTables>
  <data>
    <tabular pivotCacheId="184298249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3795FFD-0C14-45C5-9367-7D740B500D66}" sourceName="Gender Value">
  <pivotTables>
    <pivotTable tabId="6" name="pvtRating"/>
    <pivotTable tabId="6" name="pvtDuration"/>
    <pivotTable tabId="6" name="pvtGender"/>
    <pivotTable tabId="6" name="pvtMap"/>
    <pivotTable tabId="6" name="pvtProduct"/>
    <pivotTable tabId="6" name="pvtSummary"/>
    <pivotTable tabId="6" name="pvtTrend"/>
    <pivotTable tabId="7" name="pvtMatrix"/>
  </pivotTables>
  <data>
    <tabular pivotCacheId="184298249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4F1EB11-B41E-4C4A-88D9-07946F888F8F}" cache="Slicer_Order_Mode" caption="Order Mode" rowHeight="234950"/>
  <slicer name="Gender Value" xr10:uid="{EEAC17FA-CDB7-4391-A016-D2E90FF2846E}"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r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A526-7692-4B3D-B589-A771A4104964}">
  <dimension ref="A2:K173"/>
  <sheetViews>
    <sheetView topLeftCell="A156" zoomScale="102" zoomScaleNormal="102" workbookViewId="0">
      <selection activeCell="B171" sqref="B171"/>
    </sheetView>
  </sheetViews>
  <sheetFormatPr defaultRowHeight="13.8"/>
  <cols>
    <col min="1" max="1" width="13.296875" bestFit="1" customWidth="1"/>
    <col min="2" max="2" width="14.8984375" bestFit="1" customWidth="1"/>
    <col min="3" max="3" width="15.5" bestFit="1" customWidth="1"/>
    <col min="4" max="4" width="19" bestFit="1" customWidth="1"/>
    <col min="5" max="5" width="25.19921875" bestFit="1" customWidth="1"/>
    <col min="6" max="7" width="11.69921875" bestFit="1" customWidth="1"/>
    <col min="8" max="10" width="5.8984375" bestFit="1" customWidth="1"/>
    <col min="11" max="32" width="7" bestFit="1" customWidth="1"/>
    <col min="33" max="33" width="9.296875" bestFit="1" customWidth="1"/>
    <col min="34" max="42" width="6" bestFit="1" customWidth="1"/>
    <col min="43" max="61" width="7.09765625" bestFit="1" customWidth="1"/>
    <col min="62" max="62" width="9.3984375" bestFit="1" customWidth="1"/>
    <col min="63" max="71" width="6.09765625" bestFit="1" customWidth="1"/>
    <col min="72" max="91" width="7.19921875" bestFit="1" customWidth="1"/>
    <col min="92" max="92" width="9.5" bestFit="1" customWidth="1"/>
    <col min="93" max="93" width="11.69921875" bestFit="1" customWidth="1"/>
  </cols>
  <sheetData>
    <row r="2" spans="1:11">
      <c r="G2" t="s">
        <v>2557</v>
      </c>
    </row>
    <row r="3" spans="1:11">
      <c r="A3" t="s">
        <v>2552</v>
      </c>
      <c r="B3" t="s">
        <v>2554</v>
      </c>
      <c r="C3" t="s">
        <v>2553</v>
      </c>
      <c r="D3" t="s">
        <v>2556</v>
      </c>
      <c r="E3" t="s">
        <v>2555</v>
      </c>
      <c r="G3" t="s">
        <v>2538</v>
      </c>
      <c r="H3" t="s">
        <v>4</v>
      </c>
      <c r="I3" t="s">
        <v>2558</v>
      </c>
      <c r="J3" t="s">
        <v>2507</v>
      </c>
      <c r="K3" t="s">
        <v>2559</v>
      </c>
    </row>
    <row r="4" spans="1:11">
      <c r="A4" s="25">
        <v>2400</v>
      </c>
      <c r="B4" s="25">
        <v>649019.80000000144</v>
      </c>
      <c r="C4" s="25">
        <v>11997</v>
      </c>
      <c r="D4" s="25">
        <v>3.9620833333333332</v>
      </c>
      <c r="E4" s="25">
        <v>2.3424999999999998</v>
      </c>
      <c r="G4" t="str">
        <f>TEXT(A4,"#,##")</f>
        <v>2,400</v>
      </c>
      <c r="H4" t="str">
        <f>TEXT(B4,"$#,##,.0k")</f>
        <v>$649.0k</v>
      </c>
      <c r="I4" t="str">
        <f t="shared" ref="I4" si="0">TEXT(C4,"#,##")</f>
        <v>11,997</v>
      </c>
      <c r="J4" t="str">
        <f>TEXT(D4,"0.0")</f>
        <v>4.0</v>
      </c>
      <c r="K4" t="str">
        <f>TEXT(E4,"0.0")</f>
        <v>2.3</v>
      </c>
    </row>
    <row r="10" spans="1:11">
      <c r="A10" s="12" t="s">
        <v>2560</v>
      </c>
      <c r="B10" t="s">
        <v>2554</v>
      </c>
      <c r="C10" t="s">
        <v>2553</v>
      </c>
    </row>
    <row r="11" spans="1:11">
      <c r="A11" s="13">
        <v>1</v>
      </c>
      <c r="B11" s="14">
        <v>32413.300000000003</v>
      </c>
      <c r="C11" s="25">
        <v>546</v>
      </c>
    </row>
    <row r="12" spans="1:11">
      <c r="A12" s="13">
        <v>2</v>
      </c>
      <c r="B12" s="14">
        <v>49562.999999999993</v>
      </c>
      <c r="C12" s="25">
        <v>905</v>
      </c>
    </row>
    <row r="13" spans="1:11">
      <c r="A13" s="13">
        <v>3</v>
      </c>
      <c r="B13" s="14">
        <v>41700.400000000016</v>
      </c>
      <c r="C13" s="25">
        <v>796</v>
      </c>
    </row>
    <row r="14" spans="1:11">
      <c r="A14" s="13">
        <v>4</v>
      </c>
      <c r="B14" s="14">
        <v>46782.599999999984</v>
      </c>
      <c r="C14" s="25">
        <v>913</v>
      </c>
    </row>
    <row r="15" spans="1:11">
      <c r="A15" s="13">
        <v>5</v>
      </c>
      <c r="B15" s="14">
        <v>42676.100000000006</v>
      </c>
      <c r="C15" s="25">
        <v>844</v>
      </c>
    </row>
    <row r="16" spans="1:11">
      <c r="A16" s="13">
        <v>6</v>
      </c>
      <c r="B16" s="14">
        <v>62910.7</v>
      </c>
      <c r="C16" s="25">
        <v>1202</v>
      </c>
    </row>
    <row r="17" spans="1:3">
      <c r="A17" s="13">
        <v>7</v>
      </c>
      <c r="B17" s="14">
        <v>50332.200000000004</v>
      </c>
      <c r="C17" s="25">
        <v>935</v>
      </c>
    </row>
    <row r="18" spans="1:3">
      <c r="A18" s="13">
        <v>8</v>
      </c>
      <c r="B18" s="14">
        <v>58760.599999999977</v>
      </c>
      <c r="C18" s="25">
        <v>1128</v>
      </c>
    </row>
    <row r="19" spans="1:3">
      <c r="A19" s="13">
        <v>9</v>
      </c>
      <c r="B19" s="14">
        <v>52017.299999999996</v>
      </c>
      <c r="C19" s="25">
        <v>1007</v>
      </c>
    </row>
    <row r="20" spans="1:3">
      <c r="A20" s="13">
        <v>10</v>
      </c>
      <c r="B20" s="14">
        <v>64915.700000000033</v>
      </c>
      <c r="C20" s="25">
        <v>1128</v>
      </c>
    </row>
    <row r="21" spans="1:3">
      <c r="A21" s="13">
        <v>11</v>
      </c>
      <c r="B21" s="14">
        <v>45943.80000000001</v>
      </c>
      <c r="C21" s="25">
        <v>861</v>
      </c>
    </row>
    <row r="22" spans="1:3">
      <c r="A22" s="13">
        <v>12</v>
      </c>
      <c r="B22" s="14">
        <v>55077.900000000031</v>
      </c>
      <c r="C22" s="25">
        <v>944</v>
      </c>
    </row>
    <row r="23" spans="1:3">
      <c r="A23" s="13">
        <v>13</v>
      </c>
      <c r="B23" s="14">
        <v>45926.19999999999</v>
      </c>
      <c r="C23" s="25">
        <v>788</v>
      </c>
    </row>
    <row r="24" spans="1:3">
      <c r="A24" s="13" t="s">
        <v>2561</v>
      </c>
      <c r="B24" s="14">
        <v>649019.79999999993</v>
      </c>
      <c r="C24" s="25">
        <v>11997</v>
      </c>
    </row>
    <row r="28" spans="1:3">
      <c r="A28" t="s">
        <v>2568</v>
      </c>
    </row>
    <row r="32" spans="1:3">
      <c r="A32" s="12" t="s">
        <v>2560</v>
      </c>
      <c r="B32" t="s">
        <v>2552</v>
      </c>
    </row>
    <row r="33" spans="1:6">
      <c r="A33" s="13">
        <v>1</v>
      </c>
      <c r="B33" s="25">
        <v>397</v>
      </c>
    </row>
    <row r="34" spans="1:6">
      <c r="A34" s="13">
        <v>2</v>
      </c>
      <c r="B34" s="25">
        <v>540</v>
      </c>
    </row>
    <row r="35" spans="1:6">
      <c r="A35" s="13">
        <v>3</v>
      </c>
      <c r="B35" s="25">
        <v>375</v>
      </c>
    </row>
    <row r="36" spans="1:6">
      <c r="A36" s="13">
        <v>4</v>
      </c>
      <c r="B36" s="25">
        <v>246</v>
      </c>
    </row>
    <row r="37" spans="1:6">
      <c r="A37" s="13">
        <v>5</v>
      </c>
      <c r="B37" s="25">
        <v>195</v>
      </c>
    </row>
    <row r="38" spans="1:6">
      <c r="A38" s="13" t="s">
        <v>2569</v>
      </c>
      <c r="B38" s="25">
        <v>414</v>
      </c>
    </row>
    <row r="39" spans="1:6">
      <c r="A39" s="13" t="s">
        <v>2570</v>
      </c>
      <c r="B39" s="25">
        <v>233</v>
      </c>
    </row>
    <row r="40" spans="1:6">
      <c r="A40" s="13" t="s">
        <v>2561</v>
      </c>
      <c r="B40" s="25">
        <v>2400</v>
      </c>
    </row>
    <row r="46" spans="1:6">
      <c r="A46" s="12" t="s">
        <v>2552</v>
      </c>
      <c r="B46" s="12" t="s">
        <v>2562</v>
      </c>
    </row>
    <row r="47" spans="1:6">
      <c r="A47" s="12" t="s">
        <v>2560</v>
      </c>
      <c r="B47" t="s">
        <v>2563</v>
      </c>
      <c r="C47" t="s">
        <v>2564</v>
      </c>
      <c r="D47" t="s">
        <v>2565</v>
      </c>
      <c r="E47" t="s">
        <v>2566</v>
      </c>
      <c r="F47" t="s">
        <v>2561</v>
      </c>
    </row>
    <row r="48" spans="1:6">
      <c r="A48" s="13" t="s">
        <v>44</v>
      </c>
      <c r="B48" s="25">
        <v>151</v>
      </c>
      <c r="C48" s="25">
        <v>141</v>
      </c>
      <c r="D48" s="25">
        <v>15</v>
      </c>
      <c r="E48" s="25">
        <v>18</v>
      </c>
      <c r="F48" s="25">
        <v>325</v>
      </c>
    </row>
    <row r="49" spans="1:6">
      <c r="A49" s="13" t="s">
        <v>39</v>
      </c>
      <c r="B49" s="25">
        <v>138</v>
      </c>
      <c r="C49" s="25">
        <v>114</v>
      </c>
      <c r="D49" s="25">
        <v>8</v>
      </c>
      <c r="E49" s="25">
        <v>26</v>
      </c>
      <c r="F49" s="25">
        <v>286</v>
      </c>
    </row>
    <row r="50" spans="1:6">
      <c r="A50" s="13" t="s">
        <v>26</v>
      </c>
      <c r="B50" s="25">
        <v>139</v>
      </c>
      <c r="C50" s="25">
        <v>88</v>
      </c>
      <c r="D50" s="25">
        <v>6</v>
      </c>
      <c r="E50" s="25">
        <v>14</v>
      </c>
      <c r="F50" s="25">
        <v>247</v>
      </c>
    </row>
    <row r="51" spans="1:6">
      <c r="A51" s="13" t="s">
        <v>22</v>
      </c>
      <c r="B51" s="25">
        <v>104</v>
      </c>
      <c r="C51" s="25">
        <v>69</v>
      </c>
      <c r="D51" s="25">
        <v>8</v>
      </c>
      <c r="E51" s="25">
        <v>6</v>
      </c>
      <c r="F51" s="25">
        <v>187</v>
      </c>
    </row>
    <row r="52" spans="1:6">
      <c r="A52" s="13" t="s">
        <v>54</v>
      </c>
      <c r="B52" s="25">
        <v>85</v>
      </c>
      <c r="C52" s="25">
        <v>67</v>
      </c>
      <c r="D52" s="25">
        <v>3</v>
      </c>
      <c r="E52" s="25">
        <v>7</v>
      </c>
      <c r="F52" s="25">
        <v>162</v>
      </c>
    </row>
    <row r="53" spans="1:6">
      <c r="A53" s="13" t="s">
        <v>16</v>
      </c>
      <c r="B53" s="25">
        <v>90</v>
      </c>
      <c r="C53" s="25">
        <v>60</v>
      </c>
      <c r="D53" s="25"/>
      <c r="E53" s="25">
        <v>5</v>
      </c>
      <c r="F53" s="25">
        <v>155</v>
      </c>
    </row>
    <row r="54" spans="1:6">
      <c r="A54" s="13" t="s">
        <v>46</v>
      </c>
      <c r="B54" s="25">
        <v>87</v>
      </c>
      <c r="C54" s="25">
        <v>50</v>
      </c>
      <c r="D54" s="25">
        <v>5</v>
      </c>
      <c r="E54" s="25">
        <v>10</v>
      </c>
      <c r="F54" s="25">
        <v>152</v>
      </c>
    </row>
    <row r="55" spans="1:6">
      <c r="A55" s="13" t="s">
        <v>32</v>
      </c>
      <c r="B55" s="25">
        <v>68</v>
      </c>
      <c r="C55" s="25">
        <v>51</v>
      </c>
      <c r="D55" s="25">
        <v>4</v>
      </c>
      <c r="E55" s="25">
        <v>5</v>
      </c>
      <c r="F55" s="25">
        <v>128</v>
      </c>
    </row>
    <row r="56" spans="1:6">
      <c r="A56" s="13" t="s">
        <v>42</v>
      </c>
      <c r="B56" s="25">
        <v>63</v>
      </c>
      <c r="C56" s="25">
        <v>50</v>
      </c>
      <c r="D56" s="25">
        <v>2</v>
      </c>
      <c r="E56" s="25">
        <v>3</v>
      </c>
      <c r="F56" s="25">
        <v>118</v>
      </c>
    </row>
    <row r="57" spans="1:6">
      <c r="A57" s="13" t="s">
        <v>37</v>
      </c>
      <c r="B57" s="25">
        <v>53</v>
      </c>
      <c r="C57" s="25">
        <v>48</v>
      </c>
      <c r="D57" s="25">
        <v>4</v>
      </c>
      <c r="E57" s="25">
        <v>6</v>
      </c>
      <c r="F57" s="25">
        <v>111</v>
      </c>
    </row>
    <row r="58" spans="1:6">
      <c r="A58" s="13" t="s">
        <v>69</v>
      </c>
      <c r="B58" s="25">
        <v>52</v>
      </c>
      <c r="C58" s="25">
        <v>27</v>
      </c>
      <c r="D58" s="25">
        <v>5</v>
      </c>
      <c r="E58" s="25">
        <v>6</v>
      </c>
      <c r="F58" s="25">
        <v>90</v>
      </c>
    </row>
    <row r="59" spans="1:6">
      <c r="A59" s="13" t="s">
        <v>123</v>
      </c>
      <c r="B59" s="25">
        <v>28</v>
      </c>
      <c r="C59" s="25">
        <v>39</v>
      </c>
      <c r="D59" s="25">
        <v>5</v>
      </c>
      <c r="E59" s="25">
        <v>4</v>
      </c>
      <c r="F59" s="25">
        <v>76</v>
      </c>
    </row>
    <row r="60" spans="1:6">
      <c r="A60" s="13" t="s">
        <v>146</v>
      </c>
      <c r="B60" s="25">
        <v>21</v>
      </c>
      <c r="C60" s="25">
        <v>37</v>
      </c>
      <c r="D60" s="25">
        <v>2</v>
      </c>
      <c r="E60" s="25">
        <v>9</v>
      </c>
      <c r="F60" s="25">
        <v>69</v>
      </c>
    </row>
    <row r="61" spans="1:6">
      <c r="A61" s="13" t="s">
        <v>30</v>
      </c>
      <c r="B61" s="25">
        <v>31</v>
      </c>
      <c r="C61" s="25">
        <v>24</v>
      </c>
      <c r="D61" s="25">
        <v>1</v>
      </c>
      <c r="E61" s="25">
        <v>6</v>
      </c>
      <c r="F61" s="25">
        <v>62</v>
      </c>
    </row>
    <row r="62" spans="1:6">
      <c r="A62" s="13" t="s">
        <v>135</v>
      </c>
      <c r="B62" s="25">
        <v>29</v>
      </c>
      <c r="C62" s="25">
        <v>18</v>
      </c>
      <c r="D62" s="25">
        <v>1</v>
      </c>
      <c r="E62" s="25">
        <v>4</v>
      </c>
      <c r="F62" s="25">
        <v>52</v>
      </c>
    </row>
    <row r="63" spans="1:6">
      <c r="A63" s="13" t="s">
        <v>67</v>
      </c>
      <c r="B63" s="25">
        <v>32</v>
      </c>
      <c r="C63" s="25">
        <v>17</v>
      </c>
      <c r="D63" s="25">
        <v>1</v>
      </c>
      <c r="E63" s="25"/>
      <c r="F63" s="25">
        <v>50</v>
      </c>
    </row>
    <row r="64" spans="1:6">
      <c r="A64" s="13" t="s">
        <v>128</v>
      </c>
      <c r="B64" s="25">
        <v>24</v>
      </c>
      <c r="C64" s="25">
        <v>17</v>
      </c>
      <c r="D64" s="25">
        <v>1</v>
      </c>
      <c r="E64" s="25">
        <v>3</v>
      </c>
      <c r="F64" s="25">
        <v>45</v>
      </c>
    </row>
    <row r="65" spans="1:6">
      <c r="A65" s="13" t="s">
        <v>81</v>
      </c>
      <c r="B65" s="25">
        <v>14</v>
      </c>
      <c r="C65" s="25">
        <v>19</v>
      </c>
      <c r="D65" s="25">
        <v>1</v>
      </c>
      <c r="E65" s="25">
        <v>1</v>
      </c>
      <c r="F65" s="25">
        <v>35</v>
      </c>
    </row>
    <row r="66" spans="1:6">
      <c r="A66" s="13" t="s">
        <v>76</v>
      </c>
      <c r="B66" s="25">
        <v>14</v>
      </c>
      <c r="C66" s="25">
        <v>16</v>
      </c>
      <c r="D66" s="25">
        <v>1</v>
      </c>
      <c r="E66" s="25">
        <v>2</v>
      </c>
      <c r="F66" s="25">
        <v>33</v>
      </c>
    </row>
    <row r="67" spans="1:6">
      <c r="A67" s="13" t="s">
        <v>171</v>
      </c>
      <c r="B67" s="25">
        <v>8</v>
      </c>
      <c r="C67" s="25">
        <v>7</v>
      </c>
      <c r="D67" s="25">
        <v>2</v>
      </c>
      <c r="E67" s="25"/>
      <c r="F67" s="25">
        <v>17</v>
      </c>
    </row>
    <row r="68" spans="1:6">
      <c r="A68" s="13" t="s">
        <v>2561</v>
      </c>
      <c r="B68" s="25">
        <v>1231</v>
      </c>
      <c r="C68" s="25">
        <v>959</v>
      </c>
      <c r="D68" s="25">
        <v>75</v>
      </c>
      <c r="E68" s="25">
        <v>135</v>
      </c>
      <c r="F68" s="25">
        <v>2400</v>
      </c>
    </row>
    <row r="72" spans="1:6">
      <c r="A72" s="12" t="s">
        <v>2560</v>
      </c>
      <c r="B72" t="s">
        <v>2553</v>
      </c>
    </row>
    <row r="73" spans="1:6">
      <c r="A73" s="13" t="s">
        <v>2563</v>
      </c>
      <c r="B73" s="25">
        <v>6272</v>
      </c>
    </row>
    <row r="74" spans="1:6">
      <c r="A74" s="13" t="s">
        <v>2564</v>
      </c>
      <c r="B74" s="25">
        <v>4672</v>
      </c>
    </row>
    <row r="75" spans="1:6">
      <c r="A75" s="13" t="s">
        <v>2565</v>
      </c>
      <c r="B75" s="25">
        <v>317</v>
      </c>
    </row>
    <row r="76" spans="1:6">
      <c r="A76" s="13" t="s">
        <v>2566</v>
      </c>
      <c r="B76" s="25">
        <v>736</v>
      </c>
    </row>
    <row r="77" spans="1:6">
      <c r="A77" s="13" t="s">
        <v>2561</v>
      </c>
      <c r="B77" s="25">
        <v>11997</v>
      </c>
    </row>
    <row r="82" spans="1:11">
      <c r="F82" t="s">
        <v>2629</v>
      </c>
      <c r="I82" t="s">
        <v>2630</v>
      </c>
    </row>
    <row r="83" spans="1:11">
      <c r="A83" s="12" t="s">
        <v>10</v>
      </c>
      <c r="B83" s="12" t="s">
        <v>11</v>
      </c>
      <c r="C83" t="s">
        <v>2553</v>
      </c>
      <c r="D83" t="s">
        <v>2554</v>
      </c>
      <c r="F83" t="s">
        <v>10</v>
      </c>
      <c r="G83" t="s">
        <v>11</v>
      </c>
      <c r="H83" t="s">
        <v>2558</v>
      </c>
      <c r="I83" t="s">
        <v>10</v>
      </c>
      <c r="J83" t="s">
        <v>11</v>
      </c>
      <c r="K83" t="s">
        <v>4</v>
      </c>
    </row>
    <row r="84" spans="1:11">
      <c r="A84" t="s">
        <v>19</v>
      </c>
      <c r="B84" t="s">
        <v>115</v>
      </c>
      <c r="C84" s="25">
        <v>579</v>
      </c>
      <c r="D84" s="25">
        <v>31884.999999999996</v>
      </c>
      <c r="F84" t="str">
        <f>A84</f>
        <v>California</v>
      </c>
      <c r="G84" t="str">
        <f>B84</f>
        <v>Alameda County</v>
      </c>
      <c r="H84">
        <f>C84</f>
        <v>579</v>
      </c>
      <c r="I84" t="str">
        <f>A84</f>
        <v>California</v>
      </c>
      <c r="J84" t="str">
        <f>B84</f>
        <v>Alameda County</v>
      </c>
      <c r="K84">
        <f>D84</f>
        <v>31884.999999999996</v>
      </c>
    </row>
    <row r="85" spans="1:11">
      <c r="A85" t="s">
        <v>19</v>
      </c>
      <c r="B85" t="s">
        <v>20</v>
      </c>
      <c r="C85" s="25">
        <v>1</v>
      </c>
      <c r="D85" s="25">
        <v>10.9</v>
      </c>
      <c r="F85" t="str">
        <f t="shared" ref="F85:F141" si="1">A85</f>
        <v>California</v>
      </c>
      <c r="G85" t="str">
        <f t="shared" ref="G85:G141" si="2">B85</f>
        <v>Alpine County</v>
      </c>
      <c r="H85">
        <f t="shared" ref="H85:H141" si="3">C85</f>
        <v>1</v>
      </c>
      <c r="I85" t="str">
        <f t="shared" ref="I85:I141" si="4">A85</f>
        <v>California</v>
      </c>
      <c r="J85" t="str">
        <f t="shared" ref="J85:J141" si="5">B85</f>
        <v>Alpine County</v>
      </c>
      <c r="K85">
        <f t="shared" ref="K85:K141" si="6">D85</f>
        <v>10.9</v>
      </c>
    </row>
    <row r="86" spans="1:11">
      <c r="A86" t="s">
        <v>19</v>
      </c>
      <c r="B86" t="s">
        <v>641</v>
      </c>
      <c r="C86" s="25">
        <v>9</v>
      </c>
      <c r="D86" s="25">
        <v>800.3</v>
      </c>
      <c r="F86" t="str">
        <f t="shared" si="1"/>
        <v>California</v>
      </c>
      <c r="G86" t="str">
        <f t="shared" si="2"/>
        <v>Amador County</v>
      </c>
      <c r="H86">
        <f t="shared" si="3"/>
        <v>9</v>
      </c>
      <c r="I86" t="str">
        <f t="shared" si="4"/>
        <v>California</v>
      </c>
      <c r="J86" t="str">
        <f t="shared" si="5"/>
        <v>Amador County</v>
      </c>
      <c r="K86">
        <f t="shared" si="6"/>
        <v>800.3</v>
      </c>
    </row>
    <row r="87" spans="1:11">
      <c r="A87" t="s">
        <v>19</v>
      </c>
      <c r="B87" t="s">
        <v>967</v>
      </c>
      <c r="C87" s="25">
        <v>35</v>
      </c>
      <c r="D87" s="25">
        <v>1062.5999999999999</v>
      </c>
      <c r="F87" t="str">
        <f t="shared" si="1"/>
        <v>California</v>
      </c>
      <c r="G87" t="str">
        <f t="shared" si="2"/>
        <v>Butte County</v>
      </c>
      <c r="H87">
        <f t="shared" si="3"/>
        <v>35</v>
      </c>
      <c r="I87" t="str">
        <f t="shared" si="4"/>
        <v>California</v>
      </c>
      <c r="J87" t="str">
        <f t="shared" si="5"/>
        <v>Butte County</v>
      </c>
      <c r="K87">
        <f t="shared" si="6"/>
        <v>1062.5999999999999</v>
      </c>
    </row>
    <row r="88" spans="1:11">
      <c r="A88" t="s">
        <v>19</v>
      </c>
      <c r="B88" t="s">
        <v>84</v>
      </c>
      <c r="C88" s="25">
        <v>12</v>
      </c>
      <c r="D88" s="25">
        <v>326.20000000000005</v>
      </c>
      <c r="F88" t="str">
        <f t="shared" si="1"/>
        <v>California</v>
      </c>
      <c r="G88" t="str">
        <f t="shared" si="2"/>
        <v>Calaveras County</v>
      </c>
      <c r="H88">
        <f t="shared" si="3"/>
        <v>12</v>
      </c>
      <c r="I88" t="str">
        <f t="shared" si="4"/>
        <v>California</v>
      </c>
      <c r="J88" t="str">
        <f t="shared" si="5"/>
        <v>Calaveras County</v>
      </c>
      <c r="K88">
        <f t="shared" si="6"/>
        <v>326.20000000000005</v>
      </c>
    </row>
    <row r="89" spans="1:11">
      <c r="A89" t="s">
        <v>19</v>
      </c>
      <c r="B89" t="s">
        <v>1383</v>
      </c>
      <c r="C89" s="25">
        <v>4</v>
      </c>
      <c r="D89" s="25">
        <v>167.5</v>
      </c>
      <c r="F89" t="str">
        <f t="shared" si="1"/>
        <v>California</v>
      </c>
      <c r="G89" t="str">
        <f t="shared" si="2"/>
        <v>Colusa County</v>
      </c>
      <c r="H89">
        <f t="shared" si="3"/>
        <v>4</v>
      </c>
      <c r="I89" t="str">
        <f t="shared" si="4"/>
        <v>California</v>
      </c>
      <c r="J89" t="str">
        <f t="shared" si="5"/>
        <v>Colusa County</v>
      </c>
      <c r="K89">
        <f t="shared" si="6"/>
        <v>167.5</v>
      </c>
    </row>
    <row r="90" spans="1:11">
      <c r="A90" t="s">
        <v>19</v>
      </c>
      <c r="B90" t="s">
        <v>24</v>
      </c>
      <c r="C90" s="25">
        <v>341</v>
      </c>
      <c r="D90" s="25">
        <v>16168.7</v>
      </c>
      <c r="F90" t="str">
        <f t="shared" si="1"/>
        <v>California</v>
      </c>
      <c r="G90" t="str">
        <f t="shared" si="2"/>
        <v>Contra Costa County</v>
      </c>
      <c r="H90">
        <f t="shared" si="3"/>
        <v>341</v>
      </c>
      <c r="I90" t="str">
        <f t="shared" si="4"/>
        <v>California</v>
      </c>
      <c r="J90" t="str">
        <f t="shared" si="5"/>
        <v>Contra Costa County</v>
      </c>
      <c r="K90">
        <f t="shared" si="6"/>
        <v>16168.7</v>
      </c>
    </row>
    <row r="91" spans="1:11">
      <c r="A91" t="s">
        <v>19</v>
      </c>
      <c r="B91" t="s">
        <v>2204</v>
      </c>
      <c r="C91" s="25">
        <v>13</v>
      </c>
      <c r="D91" s="25">
        <v>322.40000000000003</v>
      </c>
      <c r="F91" t="str">
        <f t="shared" si="1"/>
        <v>California</v>
      </c>
      <c r="G91" t="str">
        <f t="shared" si="2"/>
        <v>Del Norte County</v>
      </c>
      <c r="H91">
        <f t="shared" si="3"/>
        <v>13</v>
      </c>
      <c r="I91" t="str">
        <f t="shared" si="4"/>
        <v>California</v>
      </c>
      <c r="J91" t="str">
        <f t="shared" si="5"/>
        <v>Del Norte County</v>
      </c>
      <c r="K91">
        <f t="shared" si="6"/>
        <v>322.40000000000003</v>
      </c>
    </row>
    <row r="92" spans="1:11">
      <c r="A92" t="s">
        <v>19</v>
      </c>
      <c r="B92" t="s">
        <v>437</v>
      </c>
      <c r="C92" s="25">
        <v>31</v>
      </c>
      <c r="D92" s="25">
        <v>2092.8000000000002</v>
      </c>
      <c r="F92" t="str">
        <f t="shared" si="1"/>
        <v>California</v>
      </c>
      <c r="G92" t="str">
        <f t="shared" si="2"/>
        <v>El Dorado County</v>
      </c>
      <c r="H92">
        <f t="shared" si="3"/>
        <v>31</v>
      </c>
      <c r="I92" t="str">
        <f t="shared" si="4"/>
        <v>California</v>
      </c>
      <c r="J92" t="str">
        <f t="shared" si="5"/>
        <v>El Dorado County</v>
      </c>
      <c r="K92">
        <f t="shared" si="6"/>
        <v>2092.8000000000002</v>
      </c>
    </row>
    <row r="93" spans="1:11">
      <c r="A93" t="s">
        <v>19</v>
      </c>
      <c r="B93" t="s">
        <v>28</v>
      </c>
      <c r="C93" s="25">
        <v>279</v>
      </c>
      <c r="D93" s="25">
        <v>12662.500000000002</v>
      </c>
      <c r="F93" t="str">
        <f t="shared" si="1"/>
        <v>California</v>
      </c>
      <c r="G93" t="str">
        <f t="shared" si="2"/>
        <v>Fresno County</v>
      </c>
      <c r="H93">
        <f t="shared" si="3"/>
        <v>279</v>
      </c>
      <c r="I93" t="str">
        <f t="shared" si="4"/>
        <v>California</v>
      </c>
      <c r="J93" t="str">
        <f t="shared" si="5"/>
        <v>Fresno County</v>
      </c>
      <c r="K93">
        <f t="shared" si="6"/>
        <v>12662.500000000002</v>
      </c>
    </row>
    <row r="94" spans="1:11">
      <c r="A94" t="s">
        <v>19</v>
      </c>
      <c r="B94" t="s">
        <v>208</v>
      </c>
      <c r="C94" s="25">
        <v>9</v>
      </c>
      <c r="D94" s="25">
        <v>343.2</v>
      </c>
      <c r="F94" t="str">
        <f t="shared" si="1"/>
        <v>California</v>
      </c>
      <c r="G94" t="str">
        <f t="shared" si="2"/>
        <v>Glenn County</v>
      </c>
      <c r="H94">
        <f t="shared" si="3"/>
        <v>9</v>
      </c>
      <c r="I94" t="str">
        <f t="shared" si="4"/>
        <v>California</v>
      </c>
      <c r="J94" t="str">
        <f t="shared" si="5"/>
        <v>Glenn County</v>
      </c>
      <c r="K94">
        <f t="shared" si="6"/>
        <v>343.2</v>
      </c>
    </row>
    <row r="95" spans="1:11">
      <c r="A95" t="s">
        <v>19</v>
      </c>
      <c r="B95" t="s">
        <v>587</v>
      </c>
      <c r="C95" s="25">
        <v>49</v>
      </c>
      <c r="D95" s="25">
        <v>2188.2999999999997</v>
      </c>
      <c r="F95" t="str">
        <f t="shared" si="1"/>
        <v>California</v>
      </c>
      <c r="G95" t="str">
        <f t="shared" si="2"/>
        <v>Humboldt County</v>
      </c>
      <c r="H95">
        <f t="shared" si="3"/>
        <v>49</v>
      </c>
      <c r="I95" t="str">
        <f t="shared" si="4"/>
        <v>California</v>
      </c>
      <c r="J95" t="str">
        <f t="shared" si="5"/>
        <v>Humboldt County</v>
      </c>
      <c r="K95">
        <f t="shared" si="6"/>
        <v>2188.2999999999997</v>
      </c>
    </row>
    <row r="96" spans="1:11">
      <c r="A96" t="s">
        <v>19</v>
      </c>
      <c r="B96" t="s">
        <v>331</v>
      </c>
      <c r="C96" s="25">
        <v>59</v>
      </c>
      <c r="D96" s="25">
        <v>2661.5999999999995</v>
      </c>
      <c r="F96" t="str">
        <f t="shared" si="1"/>
        <v>California</v>
      </c>
      <c r="G96" t="str">
        <f t="shared" si="2"/>
        <v>Imperial County</v>
      </c>
      <c r="H96">
        <f t="shared" si="3"/>
        <v>59</v>
      </c>
      <c r="I96" t="str">
        <f t="shared" si="4"/>
        <v>California</v>
      </c>
      <c r="J96" t="str">
        <f t="shared" si="5"/>
        <v>Imperial County</v>
      </c>
      <c r="K96">
        <f t="shared" si="6"/>
        <v>2661.5999999999995</v>
      </c>
    </row>
    <row r="97" spans="1:11">
      <c r="A97" t="s">
        <v>19</v>
      </c>
      <c r="B97" t="s">
        <v>86</v>
      </c>
      <c r="C97" s="25">
        <v>8</v>
      </c>
      <c r="D97" s="25">
        <v>887.5</v>
      </c>
      <c r="F97" t="str">
        <f t="shared" si="1"/>
        <v>California</v>
      </c>
      <c r="G97" t="str">
        <f t="shared" si="2"/>
        <v>Inyo County</v>
      </c>
      <c r="H97">
        <f t="shared" si="3"/>
        <v>8</v>
      </c>
      <c r="I97" t="str">
        <f t="shared" si="4"/>
        <v>California</v>
      </c>
      <c r="J97" t="str">
        <f t="shared" si="5"/>
        <v>Inyo County</v>
      </c>
      <c r="K97">
        <f t="shared" si="6"/>
        <v>887.5</v>
      </c>
    </row>
    <row r="98" spans="1:11">
      <c r="A98" t="s">
        <v>19</v>
      </c>
      <c r="B98" t="s">
        <v>147</v>
      </c>
      <c r="C98" s="25">
        <v>222</v>
      </c>
      <c r="D98" s="25">
        <v>11354.199999999993</v>
      </c>
      <c r="F98" t="str">
        <f t="shared" si="1"/>
        <v>California</v>
      </c>
      <c r="G98" t="str">
        <f t="shared" si="2"/>
        <v>Kern County</v>
      </c>
      <c r="H98">
        <f t="shared" si="3"/>
        <v>222</v>
      </c>
      <c r="I98" t="str">
        <f t="shared" si="4"/>
        <v>California</v>
      </c>
      <c r="J98" t="str">
        <f t="shared" si="5"/>
        <v>Kern County</v>
      </c>
      <c r="K98">
        <f t="shared" si="6"/>
        <v>11354.199999999993</v>
      </c>
    </row>
    <row r="99" spans="1:11">
      <c r="A99" t="s">
        <v>19</v>
      </c>
      <c r="B99" t="s">
        <v>334</v>
      </c>
      <c r="C99" s="25">
        <v>36</v>
      </c>
      <c r="D99" s="25">
        <v>1558.4</v>
      </c>
      <c r="F99" t="str">
        <f t="shared" si="1"/>
        <v>California</v>
      </c>
      <c r="G99" t="str">
        <f t="shared" si="2"/>
        <v>Kings County</v>
      </c>
      <c r="H99">
        <f t="shared" si="3"/>
        <v>36</v>
      </c>
      <c r="I99" t="str">
        <f t="shared" si="4"/>
        <v>California</v>
      </c>
      <c r="J99" t="str">
        <f t="shared" si="5"/>
        <v>Kings County</v>
      </c>
      <c r="K99">
        <f t="shared" si="6"/>
        <v>1558.4</v>
      </c>
    </row>
    <row r="100" spans="1:11">
      <c r="A100" t="s">
        <v>19</v>
      </c>
      <c r="B100" t="s">
        <v>949</v>
      </c>
      <c r="C100" s="25">
        <v>30</v>
      </c>
      <c r="D100" s="25">
        <v>2223.9</v>
      </c>
      <c r="F100" t="str">
        <f t="shared" si="1"/>
        <v>California</v>
      </c>
      <c r="G100" t="str">
        <f t="shared" si="2"/>
        <v>Lake County</v>
      </c>
      <c r="H100">
        <f t="shared" si="3"/>
        <v>30</v>
      </c>
      <c r="I100" t="str">
        <f t="shared" si="4"/>
        <v>California</v>
      </c>
      <c r="J100" t="str">
        <f t="shared" si="5"/>
        <v>Lake County</v>
      </c>
      <c r="K100">
        <f t="shared" si="6"/>
        <v>2223.9</v>
      </c>
    </row>
    <row r="101" spans="1:11">
      <c r="A101" t="s">
        <v>19</v>
      </c>
      <c r="B101" t="s">
        <v>1426</v>
      </c>
      <c r="C101" s="25">
        <v>1</v>
      </c>
      <c r="D101" s="25">
        <v>26.2</v>
      </c>
      <c r="F101" t="str">
        <f t="shared" si="1"/>
        <v>California</v>
      </c>
      <c r="G101" t="str">
        <f t="shared" si="2"/>
        <v>Lassen County</v>
      </c>
      <c r="H101">
        <f t="shared" si="3"/>
        <v>1</v>
      </c>
      <c r="I101" t="str">
        <f t="shared" si="4"/>
        <v>California</v>
      </c>
      <c r="J101" t="str">
        <f t="shared" si="5"/>
        <v>Lassen County</v>
      </c>
      <c r="K101">
        <f t="shared" si="6"/>
        <v>26.2</v>
      </c>
    </row>
    <row r="102" spans="1:11">
      <c r="A102" t="s">
        <v>19</v>
      </c>
      <c r="B102" t="s">
        <v>33</v>
      </c>
      <c r="C102" s="25">
        <v>3991</v>
      </c>
      <c r="D102" s="25">
        <v>215551.19999999981</v>
      </c>
      <c r="F102" t="str">
        <f t="shared" si="1"/>
        <v>California</v>
      </c>
      <c r="G102" t="str">
        <f t="shared" si="2"/>
        <v>Los Angeles County</v>
      </c>
      <c r="H102">
        <f t="shared" si="3"/>
        <v>3991</v>
      </c>
      <c r="I102" t="str">
        <f t="shared" si="4"/>
        <v>California</v>
      </c>
      <c r="J102" t="str">
        <f t="shared" si="5"/>
        <v>Los Angeles County</v>
      </c>
      <c r="K102">
        <f t="shared" si="6"/>
        <v>215551.19999999981</v>
      </c>
    </row>
    <row r="103" spans="1:11">
      <c r="A103" t="s">
        <v>19</v>
      </c>
      <c r="B103" t="s">
        <v>364</v>
      </c>
      <c r="C103" s="25">
        <v>45</v>
      </c>
      <c r="D103" s="25">
        <v>2687.3999999999996</v>
      </c>
      <c r="F103" t="str">
        <f t="shared" si="1"/>
        <v>California</v>
      </c>
      <c r="G103" t="str">
        <f t="shared" si="2"/>
        <v>Madera County</v>
      </c>
      <c r="H103">
        <f t="shared" si="3"/>
        <v>45</v>
      </c>
      <c r="I103" t="str">
        <f t="shared" si="4"/>
        <v>California</v>
      </c>
      <c r="J103" t="str">
        <f t="shared" si="5"/>
        <v>Madera County</v>
      </c>
      <c r="K103">
        <f t="shared" si="6"/>
        <v>2687.3999999999996</v>
      </c>
    </row>
    <row r="104" spans="1:11">
      <c r="A104" t="s">
        <v>19</v>
      </c>
      <c r="B104" t="s">
        <v>545</v>
      </c>
      <c r="C104" s="25">
        <v>39</v>
      </c>
      <c r="D104" s="25">
        <v>1463.3000000000002</v>
      </c>
      <c r="F104" t="str">
        <f t="shared" si="1"/>
        <v>California</v>
      </c>
      <c r="G104" t="str">
        <f t="shared" si="2"/>
        <v>Marin County</v>
      </c>
      <c r="H104">
        <f t="shared" si="3"/>
        <v>39</v>
      </c>
      <c r="I104" t="str">
        <f t="shared" si="4"/>
        <v>California</v>
      </c>
      <c r="J104" t="str">
        <f t="shared" si="5"/>
        <v>Marin County</v>
      </c>
      <c r="K104">
        <f t="shared" si="6"/>
        <v>1463.3000000000002</v>
      </c>
    </row>
    <row r="105" spans="1:11">
      <c r="A105" t="s">
        <v>19</v>
      </c>
      <c r="B105" t="s">
        <v>416</v>
      </c>
      <c r="C105" s="25">
        <v>6</v>
      </c>
      <c r="D105" s="25">
        <v>445.79999999999995</v>
      </c>
      <c r="F105" t="str">
        <f t="shared" si="1"/>
        <v>California</v>
      </c>
      <c r="G105" t="str">
        <f t="shared" si="2"/>
        <v>Mariposa County</v>
      </c>
      <c r="H105">
        <f t="shared" si="3"/>
        <v>6</v>
      </c>
      <c r="I105" t="str">
        <f t="shared" si="4"/>
        <v>California</v>
      </c>
      <c r="J105" t="str">
        <f t="shared" si="5"/>
        <v>Mariposa County</v>
      </c>
      <c r="K105">
        <f t="shared" si="6"/>
        <v>445.79999999999995</v>
      </c>
    </row>
    <row r="106" spans="1:11">
      <c r="A106" t="s">
        <v>19</v>
      </c>
      <c r="B106" t="s">
        <v>258</v>
      </c>
      <c r="C106" s="25">
        <v>9</v>
      </c>
      <c r="D106" s="25">
        <v>273.59999999999997</v>
      </c>
      <c r="F106" t="str">
        <f t="shared" si="1"/>
        <v>California</v>
      </c>
      <c r="G106" t="str">
        <f t="shared" si="2"/>
        <v>Mendocino County</v>
      </c>
      <c r="H106">
        <f t="shared" si="3"/>
        <v>9</v>
      </c>
      <c r="I106" t="str">
        <f t="shared" si="4"/>
        <v>California</v>
      </c>
      <c r="J106" t="str">
        <f t="shared" si="5"/>
        <v>Mendocino County</v>
      </c>
      <c r="K106">
        <f t="shared" si="6"/>
        <v>273.59999999999997</v>
      </c>
    </row>
    <row r="107" spans="1:11">
      <c r="A107" t="s">
        <v>19</v>
      </c>
      <c r="B107" t="s">
        <v>186</v>
      </c>
      <c r="C107" s="25">
        <v>60</v>
      </c>
      <c r="D107" s="25">
        <v>2690.4</v>
      </c>
      <c r="F107" t="str">
        <f t="shared" si="1"/>
        <v>California</v>
      </c>
      <c r="G107" t="str">
        <f t="shared" si="2"/>
        <v>Merced County</v>
      </c>
      <c r="H107">
        <f t="shared" si="3"/>
        <v>60</v>
      </c>
      <c r="I107" t="str">
        <f t="shared" si="4"/>
        <v>California</v>
      </c>
      <c r="J107" t="str">
        <f t="shared" si="5"/>
        <v>Merced County</v>
      </c>
      <c r="K107">
        <f t="shared" si="6"/>
        <v>2690.4</v>
      </c>
    </row>
    <row r="108" spans="1:11">
      <c r="A108" t="s">
        <v>19</v>
      </c>
      <c r="B108" t="s">
        <v>392</v>
      </c>
      <c r="C108" s="25">
        <v>2</v>
      </c>
      <c r="D108" s="25">
        <v>28.4</v>
      </c>
      <c r="F108" t="str">
        <f t="shared" si="1"/>
        <v>California</v>
      </c>
      <c r="G108" t="str">
        <f t="shared" si="2"/>
        <v>Modoc County</v>
      </c>
      <c r="H108">
        <f t="shared" si="3"/>
        <v>2</v>
      </c>
      <c r="I108" t="str">
        <f t="shared" si="4"/>
        <v>California</v>
      </c>
      <c r="J108" t="str">
        <f t="shared" si="5"/>
        <v>Modoc County</v>
      </c>
      <c r="K108">
        <f t="shared" si="6"/>
        <v>28.4</v>
      </c>
    </row>
    <row r="109" spans="1:11">
      <c r="A109" t="s">
        <v>19</v>
      </c>
      <c r="B109" t="s">
        <v>670</v>
      </c>
      <c r="C109" s="25">
        <v>4</v>
      </c>
      <c r="D109" s="25">
        <v>204.8</v>
      </c>
      <c r="F109" t="str">
        <f t="shared" si="1"/>
        <v>California</v>
      </c>
      <c r="G109" t="str">
        <f t="shared" si="2"/>
        <v>Mono County</v>
      </c>
      <c r="H109">
        <f t="shared" si="3"/>
        <v>4</v>
      </c>
      <c r="I109" t="str">
        <f t="shared" si="4"/>
        <v>California</v>
      </c>
      <c r="J109" t="str">
        <f t="shared" si="5"/>
        <v>Mono County</v>
      </c>
      <c r="K109">
        <f t="shared" si="6"/>
        <v>204.8</v>
      </c>
    </row>
    <row r="110" spans="1:11">
      <c r="A110" t="s">
        <v>19</v>
      </c>
      <c r="B110" t="s">
        <v>802</v>
      </c>
      <c r="C110" s="25">
        <v>31</v>
      </c>
      <c r="D110" s="25">
        <v>1607.8999999999999</v>
      </c>
      <c r="F110" t="str">
        <f t="shared" si="1"/>
        <v>California</v>
      </c>
      <c r="G110" t="str">
        <f t="shared" si="2"/>
        <v>Monterey County</v>
      </c>
      <c r="H110">
        <f t="shared" si="3"/>
        <v>31</v>
      </c>
      <c r="I110" t="str">
        <f t="shared" si="4"/>
        <v>California</v>
      </c>
      <c r="J110" t="str">
        <f t="shared" si="5"/>
        <v>Monterey County</v>
      </c>
      <c r="K110">
        <f t="shared" si="6"/>
        <v>1607.8999999999999</v>
      </c>
    </row>
    <row r="111" spans="1:11">
      <c r="A111" t="s">
        <v>19</v>
      </c>
      <c r="B111" t="s">
        <v>98</v>
      </c>
      <c r="C111" s="25">
        <v>88</v>
      </c>
      <c r="D111" s="25">
        <v>6444.9</v>
      </c>
      <c r="F111" t="str">
        <f t="shared" si="1"/>
        <v>California</v>
      </c>
      <c r="G111" t="str">
        <f t="shared" si="2"/>
        <v>Napa County</v>
      </c>
      <c r="H111">
        <f t="shared" si="3"/>
        <v>88</v>
      </c>
      <c r="I111" t="str">
        <f t="shared" si="4"/>
        <v>California</v>
      </c>
      <c r="J111" t="str">
        <f t="shared" si="5"/>
        <v>Napa County</v>
      </c>
      <c r="K111">
        <f t="shared" si="6"/>
        <v>6444.9</v>
      </c>
    </row>
    <row r="112" spans="1:11">
      <c r="A112" t="s">
        <v>19</v>
      </c>
      <c r="B112" t="s">
        <v>49</v>
      </c>
      <c r="C112" s="25">
        <v>25</v>
      </c>
      <c r="D112" s="25">
        <v>1809.3</v>
      </c>
      <c r="F112" t="str">
        <f t="shared" si="1"/>
        <v>California</v>
      </c>
      <c r="G112" t="str">
        <f t="shared" si="2"/>
        <v>Nevada County</v>
      </c>
      <c r="H112">
        <f t="shared" si="3"/>
        <v>25</v>
      </c>
      <c r="I112" t="str">
        <f t="shared" si="4"/>
        <v>California</v>
      </c>
      <c r="J112" t="str">
        <f t="shared" si="5"/>
        <v>Nevada County</v>
      </c>
      <c r="K112">
        <f t="shared" si="6"/>
        <v>1809.3</v>
      </c>
    </row>
    <row r="113" spans="1:11">
      <c r="A113" t="s">
        <v>19</v>
      </c>
      <c r="B113" t="s">
        <v>188</v>
      </c>
      <c r="C113" s="25">
        <v>178</v>
      </c>
      <c r="D113" s="25">
        <v>9680.399999999996</v>
      </c>
      <c r="F113" t="str">
        <f t="shared" si="1"/>
        <v>California</v>
      </c>
      <c r="G113" t="str">
        <f t="shared" si="2"/>
        <v>Orange County</v>
      </c>
      <c r="H113">
        <f t="shared" si="3"/>
        <v>178</v>
      </c>
      <c r="I113" t="str">
        <f t="shared" si="4"/>
        <v>California</v>
      </c>
      <c r="J113" t="str">
        <f t="shared" si="5"/>
        <v>Orange County</v>
      </c>
      <c r="K113">
        <f t="shared" si="6"/>
        <v>9680.399999999996</v>
      </c>
    </row>
    <row r="114" spans="1:11">
      <c r="A114" t="s">
        <v>19</v>
      </c>
      <c r="B114" t="s">
        <v>52</v>
      </c>
      <c r="C114" s="25">
        <v>141</v>
      </c>
      <c r="D114" s="25">
        <v>9414.7999999999993</v>
      </c>
      <c r="F114" t="str">
        <f t="shared" si="1"/>
        <v>California</v>
      </c>
      <c r="G114" t="str">
        <f t="shared" si="2"/>
        <v>Placer County</v>
      </c>
      <c r="H114">
        <f t="shared" si="3"/>
        <v>141</v>
      </c>
      <c r="I114" t="str">
        <f t="shared" si="4"/>
        <v>California</v>
      </c>
      <c r="J114" t="str">
        <f t="shared" si="5"/>
        <v>Placer County</v>
      </c>
      <c r="K114">
        <f t="shared" si="6"/>
        <v>9414.7999999999993</v>
      </c>
    </row>
    <row r="115" spans="1:11">
      <c r="A115" t="s">
        <v>19</v>
      </c>
      <c r="B115" t="s">
        <v>338</v>
      </c>
      <c r="C115" s="25">
        <v>6</v>
      </c>
      <c r="D115" s="25">
        <v>206.1</v>
      </c>
      <c r="F115" t="str">
        <f t="shared" si="1"/>
        <v>California</v>
      </c>
      <c r="G115" t="str">
        <f t="shared" si="2"/>
        <v>Plumas County</v>
      </c>
      <c r="H115">
        <f t="shared" si="3"/>
        <v>6</v>
      </c>
      <c r="I115" t="str">
        <f t="shared" si="4"/>
        <v>California</v>
      </c>
      <c r="J115" t="str">
        <f t="shared" si="5"/>
        <v>Plumas County</v>
      </c>
      <c r="K115">
        <f t="shared" si="6"/>
        <v>206.1</v>
      </c>
    </row>
    <row r="116" spans="1:11">
      <c r="A116" t="s">
        <v>19</v>
      </c>
      <c r="B116" t="s">
        <v>158</v>
      </c>
      <c r="C116" s="25">
        <v>178</v>
      </c>
      <c r="D116" s="25">
        <v>7691.3</v>
      </c>
      <c r="F116" t="str">
        <f t="shared" si="1"/>
        <v>California</v>
      </c>
      <c r="G116" t="str">
        <f t="shared" si="2"/>
        <v>Riverside County</v>
      </c>
      <c r="H116">
        <f t="shared" si="3"/>
        <v>178</v>
      </c>
      <c r="I116" t="str">
        <f t="shared" si="4"/>
        <v>California</v>
      </c>
      <c r="J116" t="str">
        <f t="shared" si="5"/>
        <v>Riverside County</v>
      </c>
      <c r="K116">
        <f t="shared" si="6"/>
        <v>7691.3</v>
      </c>
    </row>
    <row r="117" spans="1:11">
      <c r="A117" t="s">
        <v>19</v>
      </c>
      <c r="B117" t="s">
        <v>55</v>
      </c>
      <c r="C117" s="25">
        <v>699</v>
      </c>
      <c r="D117" s="25">
        <v>37784.900000000016</v>
      </c>
      <c r="F117" t="str">
        <f t="shared" si="1"/>
        <v>California</v>
      </c>
      <c r="G117" t="str">
        <f t="shared" si="2"/>
        <v>Sacramento County</v>
      </c>
      <c r="H117">
        <f t="shared" si="3"/>
        <v>699</v>
      </c>
      <c r="I117" t="str">
        <f t="shared" si="4"/>
        <v>California</v>
      </c>
      <c r="J117" t="str">
        <f t="shared" si="5"/>
        <v>Sacramento County</v>
      </c>
      <c r="K117">
        <f t="shared" si="6"/>
        <v>37784.900000000016</v>
      </c>
    </row>
    <row r="118" spans="1:11">
      <c r="A118" t="s">
        <v>19</v>
      </c>
      <c r="B118" t="s">
        <v>342</v>
      </c>
      <c r="C118" s="25">
        <v>23</v>
      </c>
      <c r="D118" s="25">
        <v>1129.7</v>
      </c>
      <c r="F118" t="str">
        <f t="shared" si="1"/>
        <v>California</v>
      </c>
      <c r="G118" t="str">
        <f t="shared" si="2"/>
        <v>San Benito County</v>
      </c>
      <c r="H118">
        <f t="shared" si="3"/>
        <v>23</v>
      </c>
      <c r="I118" t="str">
        <f t="shared" si="4"/>
        <v>California</v>
      </c>
      <c r="J118" t="str">
        <f t="shared" si="5"/>
        <v>San Benito County</v>
      </c>
      <c r="K118">
        <f t="shared" si="6"/>
        <v>1129.7</v>
      </c>
    </row>
    <row r="119" spans="1:11">
      <c r="A119" t="s">
        <v>19</v>
      </c>
      <c r="B119" t="s">
        <v>59</v>
      </c>
      <c r="C119" s="25">
        <v>356</v>
      </c>
      <c r="D119" s="25">
        <v>20988.9</v>
      </c>
      <c r="F119" t="str">
        <f t="shared" si="1"/>
        <v>California</v>
      </c>
      <c r="G119" t="str">
        <f t="shared" si="2"/>
        <v>San Bernardino County</v>
      </c>
      <c r="H119">
        <f t="shared" si="3"/>
        <v>356</v>
      </c>
      <c r="I119" t="str">
        <f t="shared" si="4"/>
        <v>California</v>
      </c>
      <c r="J119" t="str">
        <f t="shared" si="5"/>
        <v>San Bernardino County</v>
      </c>
      <c r="K119">
        <f t="shared" si="6"/>
        <v>20988.9</v>
      </c>
    </row>
    <row r="120" spans="1:11">
      <c r="A120" t="s">
        <v>19</v>
      </c>
      <c r="B120" t="s">
        <v>62</v>
      </c>
      <c r="C120" s="25">
        <v>1768</v>
      </c>
      <c r="D120" s="25">
        <v>98367.099999999977</v>
      </c>
      <c r="F120" t="str">
        <f t="shared" si="1"/>
        <v>California</v>
      </c>
      <c r="G120" t="str">
        <f t="shared" si="2"/>
        <v>San Diego County</v>
      </c>
      <c r="H120">
        <f t="shared" si="3"/>
        <v>1768</v>
      </c>
      <c r="I120" t="str">
        <f t="shared" si="4"/>
        <v>California</v>
      </c>
      <c r="J120" t="str">
        <f t="shared" si="5"/>
        <v>San Diego County</v>
      </c>
      <c r="K120">
        <f t="shared" si="6"/>
        <v>98367.099999999977</v>
      </c>
    </row>
    <row r="121" spans="1:11">
      <c r="A121" t="s">
        <v>19</v>
      </c>
      <c r="B121" t="s">
        <v>103</v>
      </c>
      <c r="C121" s="25">
        <v>307</v>
      </c>
      <c r="D121" s="25">
        <v>21911.9</v>
      </c>
      <c r="F121" t="str">
        <f t="shared" si="1"/>
        <v>California</v>
      </c>
      <c r="G121" t="str">
        <f t="shared" si="2"/>
        <v>San Francisco</v>
      </c>
      <c r="H121">
        <f t="shared" si="3"/>
        <v>307</v>
      </c>
      <c r="I121" t="str">
        <f t="shared" si="4"/>
        <v>California</v>
      </c>
      <c r="J121" t="str">
        <f t="shared" si="5"/>
        <v>San Francisco</v>
      </c>
      <c r="K121">
        <f t="shared" si="6"/>
        <v>21911.9</v>
      </c>
    </row>
    <row r="122" spans="1:11">
      <c r="A122" t="s">
        <v>19</v>
      </c>
      <c r="B122" t="s">
        <v>201</v>
      </c>
      <c r="C122" s="25">
        <v>117</v>
      </c>
      <c r="D122" s="25">
        <v>5441.2</v>
      </c>
      <c r="F122" t="str">
        <f t="shared" si="1"/>
        <v>California</v>
      </c>
      <c r="G122" t="str">
        <f t="shared" si="2"/>
        <v>San Joaquin County</v>
      </c>
      <c r="H122">
        <f t="shared" si="3"/>
        <v>117</v>
      </c>
      <c r="I122" t="str">
        <f t="shared" si="4"/>
        <v>California</v>
      </c>
      <c r="J122" t="str">
        <f t="shared" si="5"/>
        <v>San Joaquin County</v>
      </c>
      <c r="K122">
        <f t="shared" si="6"/>
        <v>5441.2</v>
      </c>
    </row>
    <row r="123" spans="1:11">
      <c r="A123" t="s">
        <v>19</v>
      </c>
      <c r="B123" t="s">
        <v>429</v>
      </c>
      <c r="C123" s="25">
        <v>13</v>
      </c>
      <c r="D123" s="25">
        <v>392.8</v>
      </c>
      <c r="F123" t="str">
        <f t="shared" si="1"/>
        <v>California</v>
      </c>
      <c r="G123" t="str">
        <f t="shared" si="2"/>
        <v>San Luis Obispo County</v>
      </c>
      <c r="H123">
        <f t="shared" si="3"/>
        <v>13</v>
      </c>
      <c r="I123" t="str">
        <f t="shared" si="4"/>
        <v>California</v>
      </c>
      <c r="J123" t="str">
        <f t="shared" si="5"/>
        <v>San Luis Obispo County</v>
      </c>
      <c r="K123">
        <f t="shared" si="6"/>
        <v>392.8</v>
      </c>
    </row>
    <row r="124" spans="1:11">
      <c r="A124" t="s">
        <v>19</v>
      </c>
      <c r="B124" t="s">
        <v>72</v>
      </c>
      <c r="C124" s="25">
        <v>364</v>
      </c>
      <c r="D124" s="25">
        <v>16172.000000000005</v>
      </c>
      <c r="F124" t="str">
        <f t="shared" si="1"/>
        <v>California</v>
      </c>
      <c r="G124" t="str">
        <f t="shared" si="2"/>
        <v>San Mateo County</v>
      </c>
      <c r="H124">
        <f t="shared" si="3"/>
        <v>364</v>
      </c>
      <c r="I124" t="str">
        <f t="shared" si="4"/>
        <v>California</v>
      </c>
      <c r="J124" t="str">
        <f t="shared" si="5"/>
        <v>San Mateo County</v>
      </c>
      <c r="K124">
        <f t="shared" si="6"/>
        <v>16172.000000000005</v>
      </c>
    </row>
    <row r="125" spans="1:11">
      <c r="A125" t="s">
        <v>19</v>
      </c>
      <c r="B125" t="s">
        <v>74</v>
      </c>
      <c r="C125" s="25">
        <v>95</v>
      </c>
      <c r="D125" s="25">
        <v>4334.9999999999991</v>
      </c>
      <c r="F125" t="str">
        <f t="shared" si="1"/>
        <v>California</v>
      </c>
      <c r="G125" t="str">
        <f t="shared" si="2"/>
        <v>Santa Barbara County</v>
      </c>
      <c r="H125">
        <f t="shared" si="3"/>
        <v>95</v>
      </c>
      <c r="I125" t="str">
        <f t="shared" si="4"/>
        <v>California</v>
      </c>
      <c r="J125" t="str">
        <f t="shared" si="5"/>
        <v>Santa Barbara County</v>
      </c>
      <c r="K125">
        <f t="shared" si="6"/>
        <v>4334.9999999999991</v>
      </c>
    </row>
    <row r="126" spans="1:11">
      <c r="A126" t="s">
        <v>19</v>
      </c>
      <c r="B126" t="s">
        <v>77</v>
      </c>
      <c r="C126" s="25">
        <v>737</v>
      </c>
      <c r="D126" s="25">
        <v>37449.000000000007</v>
      </c>
      <c r="F126" t="str">
        <f t="shared" si="1"/>
        <v>California</v>
      </c>
      <c r="G126" t="str">
        <f t="shared" si="2"/>
        <v>Santa Clara County</v>
      </c>
      <c r="H126">
        <f t="shared" si="3"/>
        <v>737</v>
      </c>
      <c r="I126" t="str">
        <f t="shared" si="4"/>
        <v>California</v>
      </c>
      <c r="J126" t="str">
        <f t="shared" si="5"/>
        <v>Santa Clara County</v>
      </c>
      <c r="K126">
        <f t="shared" si="6"/>
        <v>37449.000000000007</v>
      </c>
    </row>
    <row r="127" spans="1:11">
      <c r="A127" t="s">
        <v>19</v>
      </c>
      <c r="B127" t="s">
        <v>309</v>
      </c>
      <c r="C127" s="25">
        <v>39</v>
      </c>
      <c r="D127" s="25">
        <v>2447.5</v>
      </c>
      <c r="F127" t="str">
        <f t="shared" si="1"/>
        <v>California</v>
      </c>
      <c r="G127" t="str">
        <f t="shared" si="2"/>
        <v>Santa Cruz County</v>
      </c>
      <c r="H127">
        <f t="shared" si="3"/>
        <v>39</v>
      </c>
      <c r="I127" t="str">
        <f t="shared" si="4"/>
        <v>California</v>
      </c>
      <c r="J127" t="str">
        <f t="shared" si="5"/>
        <v>Santa Cruz County</v>
      </c>
      <c r="K127">
        <f t="shared" si="6"/>
        <v>2447.5</v>
      </c>
    </row>
    <row r="128" spans="1:11">
      <c r="A128" t="s">
        <v>19</v>
      </c>
      <c r="B128" t="s">
        <v>1116</v>
      </c>
      <c r="C128" s="25">
        <v>56</v>
      </c>
      <c r="D128" s="25">
        <v>3391.1</v>
      </c>
      <c r="F128" t="str">
        <f t="shared" si="1"/>
        <v>California</v>
      </c>
      <c r="G128" t="str">
        <f t="shared" si="2"/>
        <v>Shasta County</v>
      </c>
      <c r="H128">
        <f t="shared" si="3"/>
        <v>56</v>
      </c>
      <c r="I128" t="str">
        <f t="shared" si="4"/>
        <v>California</v>
      </c>
      <c r="J128" t="str">
        <f t="shared" si="5"/>
        <v>Shasta County</v>
      </c>
      <c r="K128">
        <f t="shared" si="6"/>
        <v>3391.1</v>
      </c>
    </row>
    <row r="129" spans="1:11">
      <c r="A129" t="s">
        <v>19</v>
      </c>
      <c r="B129" t="s">
        <v>700</v>
      </c>
      <c r="C129" s="25">
        <v>2</v>
      </c>
      <c r="D129" s="25">
        <v>30.8</v>
      </c>
      <c r="F129" t="str">
        <f t="shared" si="1"/>
        <v>California</v>
      </c>
      <c r="G129" t="str">
        <f t="shared" si="2"/>
        <v>Sierra County</v>
      </c>
      <c r="H129">
        <f t="shared" si="3"/>
        <v>2</v>
      </c>
      <c r="I129" t="str">
        <f t="shared" si="4"/>
        <v>California</v>
      </c>
      <c r="J129" t="str">
        <f t="shared" si="5"/>
        <v>Sierra County</v>
      </c>
      <c r="K129">
        <f t="shared" si="6"/>
        <v>30.8</v>
      </c>
    </row>
    <row r="130" spans="1:11">
      <c r="A130" t="s">
        <v>19</v>
      </c>
      <c r="B130" t="s">
        <v>268</v>
      </c>
      <c r="C130" s="25">
        <v>8</v>
      </c>
      <c r="D130" s="25">
        <v>332.3</v>
      </c>
      <c r="F130" t="str">
        <f t="shared" si="1"/>
        <v>California</v>
      </c>
      <c r="G130" t="str">
        <f t="shared" si="2"/>
        <v>Siskiyou County</v>
      </c>
      <c r="H130">
        <f t="shared" si="3"/>
        <v>8</v>
      </c>
      <c r="I130" t="str">
        <f t="shared" si="4"/>
        <v>California</v>
      </c>
      <c r="J130" t="str">
        <f t="shared" si="5"/>
        <v>Siskiyou County</v>
      </c>
      <c r="K130">
        <f t="shared" si="6"/>
        <v>332.3</v>
      </c>
    </row>
    <row r="131" spans="1:11">
      <c r="A131" t="s">
        <v>19</v>
      </c>
      <c r="B131" t="s">
        <v>377</v>
      </c>
      <c r="C131" s="25">
        <v>52</v>
      </c>
      <c r="D131" s="25">
        <v>3175.9999999999995</v>
      </c>
      <c r="F131" t="str">
        <f t="shared" si="1"/>
        <v>California</v>
      </c>
      <c r="G131" t="str">
        <f t="shared" si="2"/>
        <v>Solano County</v>
      </c>
      <c r="H131">
        <f t="shared" si="3"/>
        <v>52</v>
      </c>
      <c r="I131" t="str">
        <f t="shared" si="4"/>
        <v>California</v>
      </c>
      <c r="J131" t="str">
        <f t="shared" si="5"/>
        <v>Solano County</v>
      </c>
      <c r="K131">
        <f t="shared" si="6"/>
        <v>3175.9999999999995</v>
      </c>
    </row>
    <row r="132" spans="1:11">
      <c r="A132" t="s">
        <v>19</v>
      </c>
      <c r="B132" t="s">
        <v>108</v>
      </c>
      <c r="C132" s="25">
        <v>295</v>
      </c>
      <c r="D132" s="25">
        <v>20939.600000000002</v>
      </c>
      <c r="F132" t="str">
        <f t="shared" si="1"/>
        <v>California</v>
      </c>
      <c r="G132" t="str">
        <f t="shared" si="2"/>
        <v>Sonoma County</v>
      </c>
      <c r="H132">
        <f t="shared" si="3"/>
        <v>295</v>
      </c>
      <c r="I132" t="str">
        <f t="shared" si="4"/>
        <v>California</v>
      </c>
      <c r="J132" t="str">
        <f t="shared" si="5"/>
        <v>Sonoma County</v>
      </c>
      <c r="K132">
        <f t="shared" si="6"/>
        <v>20939.600000000002</v>
      </c>
    </row>
    <row r="133" spans="1:11">
      <c r="A133" t="s">
        <v>19</v>
      </c>
      <c r="B133" t="s">
        <v>110</v>
      </c>
      <c r="C133" s="25">
        <v>195</v>
      </c>
      <c r="D133" s="25">
        <v>10185.899999999996</v>
      </c>
      <c r="F133" t="str">
        <f t="shared" si="1"/>
        <v>California</v>
      </c>
      <c r="G133" t="str">
        <f t="shared" si="2"/>
        <v>Stanislaus County</v>
      </c>
      <c r="H133">
        <f t="shared" si="3"/>
        <v>195</v>
      </c>
      <c r="I133" t="str">
        <f t="shared" si="4"/>
        <v>California</v>
      </c>
      <c r="J133" t="str">
        <f t="shared" si="5"/>
        <v>Stanislaus County</v>
      </c>
      <c r="K133">
        <f t="shared" si="6"/>
        <v>10185.899999999996</v>
      </c>
    </row>
    <row r="134" spans="1:11">
      <c r="A134" t="s">
        <v>19</v>
      </c>
      <c r="B134" t="s">
        <v>292</v>
      </c>
      <c r="C134" s="25">
        <v>20</v>
      </c>
      <c r="D134" s="25">
        <v>958.7</v>
      </c>
      <c r="F134" t="str">
        <f t="shared" si="1"/>
        <v>California</v>
      </c>
      <c r="G134" t="str">
        <f t="shared" si="2"/>
        <v>Sutter County</v>
      </c>
      <c r="H134">
        <f t="shared" si="3"/>
        <v>20</v>
      </c>
      <c r="I134" t="str">
        <f t="shared" si="4"/>
        <v>California</v>
      </c>
      <c r="J134" t="str">
        <f t="shared" si="5"/>
        <v>Sutter County</v>
      </c>
      <c r="K134">
        <f t="shared" si="6"/>
        <v>958.7</v>
      </c>
    </row>
    <row r="135" spans="1:11">
      <c r="A135" t="s">
        <v>19</v>
      </c>
      <c r="B135" t="s">
        <v>79</v>
      </c>
      <c r="C135" s="25">
        <v>6</v>
      </c>
      <c r="D135" s="25">
        <v>323</v>
      </c>
      <c r="F135" t="str">
        <f t="shared" si="1"/>
        <v>California</v>
      </c>
      <c r="G135" t="str">
        <f t="shared" si="2"/>
        <v>Tehama County</v>
      </c>
      <c r="H135">
        <f t="shared" si="3"/>
        <v>6</v>
      </c>
      <c r="I135" t="str">
        <f t="shared" si="4"/>
        <v>California</v>
      </c>
      <c r="J135" t="str">
        <f t="shared" si="5"/>
        <v>Tehama County</v>
      </c>
      <c r="K135">
        <f t="shared" si="6"/>
        <v>323</v>
      </c>
    </row>
    <row r="136" spans="1:11">
      <c r="A136" t="s">
        <v>19</v>
      </c>
      <c r="B136" t="s">
        <v>608</v>
      </c>
      <c r="C136" s="25">
        <v>5</v>
      </c>
      <c r="D136" s="25">
        <v>167.70000000000002</v>
      </c>
      <c r="F136" t="str">
        <f t="shared" si="1"/>
        <v>California</v>
      </c>
      <c r="G136" t="str">
        <f t="shared" si="2"/>
        <v>Trinity County</v>
      </c>
      <c r="H136">
        <f t="shared" si="3"/>
        <v>5</v>
      </c>
      <c r="I136" t="str">
        <f t="shared" si="4"/>
        <v>California</v>
      </c>
      <c r="J136" t="str">
        <f t="shared" si="5"/>
        <v>Trinity County</v>
      </c>
      <c r="K136">
        <f t="shared" si="6"/>
        <v>167.70000000000002</v>
      </c>
    </row>
    <row r="137" spans="1:11">
      <c r="A137" t="s">
        <v>19</v>
      </c>
      <c r="B137" t="s">
        <v>113</v>
      </c>
      <c r="C137" s="25">
        <v>94</v>
      </c>
      <c r="D137" s="25">
        <v>3978.5</v>
      </c>
      <c r="F137" t="str">
        <f t="shared" si="1"/>
        <v>California</v>
      </c>
      <c r="G137" t="str">
        <f t="shared" si="2"/>
        <v>Tulare County</v>
      </c>
      <c r="H137">
        <f t="shared" si="3"/>
        <v>94</v>
      </c>
      <c r="I137" t="str">
        <f t="shared" si="4"/>
        <v>California</v>
      </c>
      <c r="J137" t="str">
        <f t="shared" si="5"/>
        <v>Tulare County</v>
      </c>
      <c r="K137">
        <f t="shared" si="6"/>
        <v>3978.5</v>
      </c>
    </row>
    <row r="138" spans="1:11">
      <c r="A138" t="s">
        <v>19</v>
      </c>
      <c r="B138" t="s">
        <v>997</v>
      </c>
      <c r="C138" s="25">
        <v>28</v>
      </c>
      <c r="D138" s="25">
        <v>1405</v>
      </c>
      <c r="F138" t="str">
        <f t="shared" si="1"/>
        <v>California</v>
      </c>
      <c r="G138" t="str">
        <f t="shared" si="2"/>
        <v>Tuolumne County</v>
      </c>
      <c r="H138">
        <f t="shared" si="3"/>
        <v>28</v>
      </c>
      <c r="I138" t="str">
        <f t="shared" si="4"/>
        <v>California</v>
      </c>
      <c r="J138" t="str">
        <f t="shared" si="5"/>
        <v>Tuolumne County</v>
      </c>
      <c r="K138">
        <f t="shared" si="6"/>
        <v>1405</v>
      </c>
    </row>
    <row r="139" spans="1:11">
      <c r="A139" t="s">
        <v>19</v>
      </c>
      <c r="B139" t="s">
        <v>82</v>
      </c>
      <c r="C139" s="25">
        <v>179</v>
      </c>
      <c r="D139" s="25">
        <v>9869.0999999999985</v>
      </c>
      <c r="F139" t="str">
        <f t="shared" si="1"/>
        <v>California</v>
      </c>
      <c r="G139" t="str">
        <f t="shared" si="2"/>
        <v>Ventura County</v>
      </c>
      <c r="H139">
        <f t="shared" si="3"/>
        <v>179</v>
      </c>
      <c r="I139" t="str">
        <f t="shared" si="4"/>
        <v>California</v>
      </c>
      <c r="J139" t="str">
        <f t="shared" si="5"/>
        <v>Ventura County</v>
      </c>
      <c r="K139">
        <f t="shared" si="6"/>
        <v>9869.0999999999985</v>
      </c>
    </row>
    <row r="140" spans="1:11">
      <c r="A140" t="s">
        <v>19</v>
      </c>
      <c r="B140" t="s">
        <v>243</v>
      </c>
      <c r="C140" s="25">
        <v>15</v>
      </c>
      <c r="D140" s="25">
        <v>615.29999999999995</v>
      </c>
      <c r="F140" t="str">
        <f t="shared" si="1"/>
        <v>California</v>
      </c>
      <c r="G140" t="str">
        <f t="shared" si="2"/>
        <v>Yolo County</v>
      </c>
      <c r="H140">
        <f t="shared" si="3"/>
        <v>15</v>
      </c>
      <c r="I140" t="str">
        <f t="shared" si="4"/>
        <v>California</v>
      </c>
      <c r="J140" t="str">
        <f t="shared" si="5"/>
        <v>Yolo County</v>
      </c>
      <c r="K140">
        <f t="shared" si="6"/>
        <v>615.29999999999995</v>
      </c>
    </row>
    <row r="141" spans="1:11">
      <c r="A141" t="s">
        <v>19</v>
      </c>
      <c r="B141" t="s">
        <v>1911</v>
      </c>
      <c r="C141" s="25">
        <v>3</v>
      </c>
      <c r="D141" s="25">
        <v>285</v>
      </c>
      <c r="F141" t="str">
        <f t="shared" si="1"/>
        <v>California</v>
      </c>
      <c r="G141" t="str">
        <f t="shared" si="2"/>
        <v>Yuba County</v>
      </c>
      <c r="H141">
        <f t="shared" si="3"/>
        <v>3</v>
      </c>
      <c r="I141" t="str">
        <f t="shared" si="4"/>
        <v>California</v>
      </c>
      <c r="J141" t="str">
        <f t="shared" si="5"/>
        <v>Yuba County</v>
      </c>
      <c r="K141">
        <f t="shared" si="6"/>
        <v>285</v>
      </c>
    </row>
    <row r="147" spans="1:2">
      <c r="A147" s="12" t="s">
        <v>2560</v>
      </c>
      <c r="B147" t="s">
        <v>2552</v>
      </c>
    </row>
    <row r="148" spans="1:2">
      <c r="A148" s="13">
        <v>0</v>
      </c>
      <c r="B148" s="25">
        <v>175</v>
      </c>
    </row>
    <row r="149" spans="1:2">
      <c r="A149" s="13">
        <v>1</v>
      </c>
      <c r="B149" s="25">
        <v>888</v>
      </c>
    </row>
    <row r="150" spans="1:2">
      <c r="A150" s="13">
        <v>2</v>
      </c>
      <c r="B150" s="25">
        <v>538</v>
      </c>
    </row>
    <row r="151" spans="1:2">
      <c r="A151" s="13">
        <v>3</v>
      </c>
      <c r="B151" s="25">
        <v>344</v>
      </c>
    </row>
    <row r="152" spans="1:2">
      <c r="A152" s="13">
        <v>4</v>
      </c>
      <c r="B152" s="25">
        <v>200</v>
      </c>
    </row>
    <row r="153" spans="1:2">
      <c r="A153" s="13">
        <v>5</v>
      </c>
      <c r="B153" s="25">
        <v>94</v>
      </c>
    </row>
    <row r="154" spans="1:2">
      <c r="A154" s="13">
        <v>6</v>
      </c>
      <c r="B154" s="25">
        <v>51</v>
      </c>
    </row>
    <row r="155" spans="1:2">
      <c r="A155" s="13">
        <v>7</v>
      </c>
      <c r="B155" s="25">
        <v>32</v>
      </c>
    </row>
    <row r="156" spans="1:2">
      <c r="A156" s="13">
        <v>8</v>
      </c>
      <c r="B156" s="25">
        <v>23</v>
      </c>
    </row>
    <row r="157" spans="1:2">
      <c r="A157" s="13">
        <v>9</v>
      </c>
      <c r="B157" s="25">
        <v>9</v>
      </c>
    </row>
    <row r="158" spans="1:2">
      <c r="A158" s="13">
        <v>10</v>
      </c>
      <c r="B158" s="25">
        <v>8</v>
      </c>
    </row>
    <row r="159" spans="1:2">
      <c r="A159" s="13">
        <v>11</v>
      </c>
      <c r="B159" s="25">
        <v>11</v>
      </c>
    </row>
    <row r="160" spans="1:2">
      <c r="A160" s="13">
        <v>12</v>
      </c>
      <c r="B160" s="25">
        <v>4</v>
      </c>
    </row>
    <row r="161" spans="1:7">
      <c r="A161" s="13">
        <v>13</v>
      </c>
      <c r="B161" s="25">
        <v>10</v>
      </c>
    </row>
    <row r="162" spans="1:7">
      <c r="A162" s="13">
        <v>14</v>
      </c>
      <c r="B162" s="25">
        <v>13</v>
      </c>
    </row>
    <row r="163" spans="1:7">
      <c r="A163" s="13" t="s">
        <v>2561</v>
      </c>
      <c r="B163" s="25">
        <v>2400</v>
      </c>
    </row>
    <row r="168" spans="1:7">
      <c r="A168" s="12" t="s">
        <v>2552</v>
      </c>
      <c r="B168" s="12" t="s">
        <v>2562</v>
      </c>
    </row>
    <row r="169" spans="1:7">
      <c r="A169" s="12" t="s">
        <v>2560</v>
      </c>
      <c r="B169">
        <v>1</v>
      </c>
      <c r="C169">
        <v>2</v>
      </c>
      <c r="D169">
        <v>3</v>
      </c>
      <c r="E169">
        <v>4</v>
      </c>
      <c r="F169">
        <v>5</v>
      </c>
      <c r="G169" t="s">
        <v>2561</v>
      </c>
    </row>
    <row r="170" spans="1:7">
      <c r="A170" s="13" t="s">
        <v>2631</v>
      </c>
      <c r="B170" s="25">
        <v>7</v>
      </c>
      <c r="C170" s="25">
        <v>37</v>
      </c>
      <c r="D170" s="25">
        <v>150</v>
      </c>
      <c r="E170" s="25">
        <v>312</v>
      </c>
      <c r="F170" s="25">
        <v>224</v>
      </c>
      <c r="G170" s="25">
        <v>730</v>
      </c>
    </row>
    <row r="171" spans="1:7">
      <c r="A171" s="13" t="s">
        <v>2632</v>
      </c>
      <c r="B171" s="25">
        <v>8</v>
      </c>
      <c r="C171" s="25">
        <v>51</v>
      </c>
      <c r="D171" s="25">
        <v>182</v>
      </c>
      <c r="E171" s="25">
        <v>373</v>
      </c>
      <c r="F171" s="25">
        <v>247</v>
      </c>
      <c r="G171" s="25">
        <v>861</v>
      </c>
    </row>
    <row r="172" spans="1:7">
      <c r="A172" s="13" t="s">
        <v>2633</v>
      </c>
      <c r="B172" s="25">
        <v>6</v>
      </c>
      <c r="C172" s="25">
        <v>39</v>
      </c>
      <c r="D172" s="25">
        <v>163</v>
      </c>
      <c r="E172" s="25">
        <v>351</v>
      </c>
      <c r="F172" s="25">
        <v>250</v>
      </c>
      <c r="G172" s="25">
        <v>809</v>
      </c>
    </row>
    <row r="173" spans="1:7">
      <c r="A173" s="13" t="s">
        <v>2561</v>
      </c>
      <c r="B173" s="25">
        <v>21</v>
      </c>
      <c r="C173" s="25">
        <v>127</v>
      </c>
      <c r="D173" s="25">
        <v>495</v>
      </c>
      <c r="E173" s="25">
        <v>1036</v>
      </c>
      <c r="F173" s="25">
        <v>721</v>
      </c>
      <c r="G173" s="25">
        <v>2400</v>
      </c>
    </row>
  </sheetData>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9FFD-C72B-44A8-8B3E-EDA651230DDC}">
  <dimension ref="A2:L10"/>
  <sheetViews>
    <sheetView showGridLines="0" workbookViewId="0">
      <selection activeCell="H4" sqref="H4:L9"/>
    </sheetView>
  </sheetViews>
  <sheetFormatPr defaultRowHeight="13.8"/>
  <cols>
    <col min="1" max="1" width="14.59765625" bestFit="1" customWidth="1"/>
    <col min="2" max="2" width="16.09765625" bestFit="1" customWidth="1"/>
    <col min="3" max="3" width="7.09765625" bestFit="1" customWidth="1"/>
    <col min="4" max="4" width="6.09765625" bestFit="1" customWidth="1"/>
    <col min="5" max="5" width="9.09765625" bestFit="1" customWidth="1"/>
    <col min="6" max="6" width="11" bestFit="1" customWidth="1"/>
    <col min="8" max="8" width="10.3984375" bestFit="1" customWidth="1"/>
    <col min="9" max="9" width="6.796875" bestFit="1" customWidth="1"/>
    <col min="10" max="10" width="6" bestFit="1" customWidth="1"/>
    <col min="11" max="11" width="5.3984375" bestFit="1" customWidth="1"/>
    <col min="12" max="12" width="8.3984375" bestFit="1" customWidth="1"/>
  </cols>
  <sheetData>
    <row r="2" spans="1:12">
      <c r="H2" t="s">
        <v>2567</v>
      </c>
    </row>
    <row r="3" spans="1:12">
      <c r="A3" s="12" t="s">
        <v>2554</v>
      </c>
      <c r="B3" s="12" t="s">
        <v>2562</v>
      </c>
    </row>
    <row r="4" spans="1:12">
      <c r="A4" s="12" t="s">
        <v>2560</v>
      </c>
      <c r="B4" t="s">
        <v>2563</v>
      </c>
      <c r="C4" t="s">
        <v>2564</v>
      </c>
      <c r="D4" t="s">
        <v>2565</v>
      </c>
      <c r="E4" t="s">
        <v>2566</v>
      </c>
      <c r="F4" t="s">
        <v>2561</v>
      </c>
      <c r="H4" s="16"/>
      <c r="I4" s="17" t="str">
        <f>B4</f>
        <v>Female</v>
      </c>
      <c r="J4" s="17" t="str">
        <f t="shared" ref="J4:L5" si="0">C4</f>
        <v>Male</v>
      </c>
      <c r="K4" s="17" t="str">
        <f t="shared" si="0"/>
        <v>Other</v>
      </c>
      <c r="L4" s="18" t="str">
        <f t="shared" si="0"/>
        <v>Unknown</v>
      </c>
    </row>
    <row r="5" spans="1:12">
      <c r="A5" s="13" t="s">
        <v>18</v>
      </c>
      <c r="B5" s="15">
        <v>0.18961825201634841</v>
      </c>
      <c r="C5" s="15">
        <v>0.12262322351336576</v>
      </c>
      <c r="D5" s="15">
        <v>1.060537752469185E-2</v>
      </c>
      <c r="E5" s="15">
        <v>3.0599220547662797E-2</v>
      </c>
      <c r="F5" s="15">
        <v>0.35344607360206881</v>
      </c>
      <c r="H5" s="19" t="str">
        <f>A5</f>
        <v>App</v>
      </c>
      <c r="I5" s="20">
        <f t="shared" ref="I5" si="1">B5</f>
        <v>0.18961825201634841</v>
      </c>
      <c r="J5" s="20">
        <f t="shared" si="0"/>
        <v>0.12262322351336576</v>
      </c>
      <c r="K5" s="20">
        <f t="shared" si="0"/>
        <v>1.060537752469185E-2</v>
      </c>
      <c r="L5" s="21">
        <f t="shared" si="0"/>
        <v>3.0599220547662797E-2</v>
      </c>
    </row>
    <row r="6" spans="1:12">
      <c r="A6" s="13" t="s">
        <v>51</v>
      </c>
      <c r="B6" s="15">
        <v>5.0283982091147303E-2</v>
      </c>
      <c r="C6" s="15">
        <v>4.3060781812819873E-2</v>
      </c>
      <c r="D6" s="15">
        <v>1.5320025675641944E-3</v>
      </c>
      <c r="E6" s="15">
        <v>1.7794988689097006E-2</v>
      </c>
      <c r="F6" s="15">
        <v>0.11267175516062837</v>
      </c>
      <c r="H6" s="19" t="str">
        <f t="shared" ref="H6:H9" si="2">A6</f>
        <v>Instagram</v>
      </c>
      <c r="I6" s="20">
        <f t="shared" ref="I6:I9" si="3">B6</f>
        <v>5.0283982091147303E-2</v>
      </c>
      <c r="J6" s="20">
        <f t="shared" ref="J6:J9" si="4">C6</f>
        <v>4.3060781812819873E-2</v>
      </c>
      <c r="K6" s="20">
        <f t="shared" ref="K6:K9" si="5">D6</f>
        <v>1.5320025675641944E-3</v>
      </c>
      <c r="L6" s="21">
        <f t="shared" ref="L6:L9" si="6">E6</f>
        <v>1.7794988689097006E-2</v>
      </c>
    </row>
    <row r="7" spans="1:12">
      <c r="A7" s="13" t="s">
        <v>70</v>
      </c>
      <c r="B7" s="15">
        <v>6.3496059750411282E-2</v>
      </c>
      <c r="C7" s="15">
        <v>4.6071629863988765E-2</v>
      </c>
      <c r="D7" s="15">
        <v>2.306247051322625E-3</v>
      </c>
      <c r="E7" s="15">
        <v>3.8927934093844286E-3</v>
      </c>
      <c r="F7" s="15">
        <v>0.11576673007510711</v>
      </c>
      <c r="H7" s="19" t="str">
        <f t="shared" si="2"/>
        <v>Partner App</v>
      </c>
      <c r="I7" s="20">
        <f t="shared" si="3"/>
        <v>6.3496059750411282E-2</v>
      </c>
      <c r="J7" s="20">
        <f t="shared" si="4"/>
        <v>4.6071629863988765E-2</v>
      </c>
      <c r="K7" s="20">
        <f t="shared" si="5"/>
        <v>2.306247051322625E-3</v>
      </c>
      <c r="L7" s="21">
        <f t="shared" si="6"/>
        <v>3.8927934093844286E-3</v>
      </c>
    </row>
    <row r="8" spans="1:12">
      <c r="A8" s="13" t="s">
        <v>40</v>
      </c>
      <c r="B8" s="15">
        <v>9.6337892927149532E-2</v>
      </c>
      <c r="C8" s="15">
        <v>6.7920115842382611E-2</v>
      </c>
      <c r="D8" s="15">
        <v>5.4979832664581261E-3</v>
      </c>
      <c r="E8" s="15">
        <v>1.2933041488102518E-2</v>
      </c>
      <c r="F8" s="15">
        <v>0.1826890335240928</v>
      </c>
      <c r="H8" s="19" t="str">
        <f t="shared" si="2"/>
        <v>Target.com</v>
      </c>
      <c r="I8" s="20">
        <f t="shared" si="3"/>
        <v>9.6337892927149532E-2</v>
      </c>
      <c r="J8" s="20">
        <f t="shared" si="4"/>
        <v>6.7920115842382611E-2</v>
      </c>
      <c r="K8" s="20">
        <f t="shared" si="5"/>
        <v>5.4979832664581261E-3</v>
      </c>
      <c r="L8" s="21">
        <f t="shared" si="6"/>
        <v>1.2933041488102518E-2</v>
      </c>
    </row>
    <row r="9" spans="1:12">
      <c r="A9" s="13" t="s">
        <v>35</v>
      </c>
      <c r="B9" s="15">
        <v>0.12522098709469262</v>
      </c>
      <c r="C9" s="15">
        <v>9.1492740283116228E-2</v>
      </c>
      <c r="D9" s="15">
        <v>6.3042760790965081E-3</v>
      </c>
      <c r="E9" s="15">
        <v>1.2408404181197551E-2</v>
      </c>
      <c r="F9" s="15">
        <v>0.23542640763810288</v>
      </c>
      <c r="H9" s="22" t="str">
        <f t="shared" si="2"/>
        <v>Website</v>
      </c>
      <c r="I9" s="23">
        <f t="shared" si="3"/>
        <v>0.12522098709469262</v>
      </c>
      <c r="J9" s="23">
        <f t="shared" si="4"/>
        <v>9.1492740283116228E-2</v>
      </c>
      <c r="K9" s="23">
        <f t="shared" si="5"/>
        <v>6.3042760790965081E-3</v>
      </c>
      <c r="L9" s="24">
        <f t="shared" si="6"/>
        <v>1.2408404181197551E-2</v>
      </c>
    </row>
    <row r="10" spans="1:12">
      <c r="A10" s="13" t="s">
        <v>2561</v>
      </c>
      <c r="B10" s="15">
        <v>0.52495717387974916</v>
      </c>
      <c r="C10" s="15">
        <v>0.3711684913156732</v>
      </c>
      <c r="D10" s="15">
        <v>2.6245886489133303E-2</v>
      </c>
      <c r="E10" s="15">
        <v>7.7628448315444312E-2</v>
      </c>
      <c r="F10" s="15">
        <v>1</v>
      </c>
    </row>
  </sheetData>
  <conditionalFormatting sqref="I5:L9">
    <cfRule type="colorScale" priority="2">
      <colorScale>
        <cfvo type="min"/>
        <cfvo type="percentile" val="50"/>
        <cfvo type="max"/>
        <color rgb="FFF8696B"/>
        <color rgb="FFFCFCFF"/>
        <color rgb="FF5A8AC6"/>
      </colorScale>
    </cfRule>
  </conditionalFormatting>
  <conditionalFormatting sqref="H4:L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45" workbookViewId="0">
      <selection activeCell="L1" sqref="L1"/>
    </sheetView>
  </sheetViews>
  <sheetFormatPr defaultRowHeight="13.8"/>
  <cols>
    <col min="2" max="2" width="19.09765625" bestFit="1" customWidth="1"/>
    <col min="3" max="3" width="8.09765625" bestFit="1" customWidth="1"/>
    <col min="4" max="4" width="9.09765625" bestFit="1" customWidth="1"/>
    <col min="5" max="5" width="7.3984375" bestFit="1" customWidth="1"/>
    <col min="6" max="6" width="10" bestFit="1" customWidth="1"/>
    <col min="7" max="7" width="9.3984375" bestFit="1" customWidth="1"/>
    <col min="8" max="8" width="15.69921875" bestFit="1" customWidth="1"/>
    <col min="9" max="9" width="10.69921875" bestFit="1" customWidth="1"/>
    <col min="10" max="10" width="7.796875" bestFit="1" customWidth="1"/>
    <col min="11" max="11" width="8.796875" bestFit="1" customWidth="1"/>
    <col min="12" max="12" width="19.69921875" bestFit="1" customWidth="1"/>
    <col min="13" max="13" width="13.296875" bestFit="1" customWidth="1"/>
    <col min="14" max="14" width="9.296875" bestFit="1" customWidth="1"/>
    <col min="15" max="15" width="12.09765625" bestFit="1" customWidth="1"/>
  </cols>
  <sheetData>
    <row r="1" spans="1:15">
      <c r="A1" t="s">
        <v>0</v>
      </c>
      <c r="B1" t="s">
        <v>1</v>
      </c>
      <c r="C1" t="s">
        <v>2</v>
      </c>
      <c r="D1" t="s">
        <v>3</v>
      </c>
      <c r="E1" t="s">
        <v>4</v>
      </c>
      <c r="F1" t="s">
        <v>5</v>
      </c>
      <c r="G1" t="s">
        <v>6</v>
      </c>
      <c r="H1" t="s">
        <v>7</v>
      </c>
      <c r="I1" t="s">
        <v>8</v>
      </c>
      <c r="J1" t="s">
        <v>9</v>
      </c>
      <c r="K1" t="s">
        <v>10</v>
      </c>
      <c r="L1" t="s">
        <v>2628</v>
      </c>
      <c r="M1" s="2" t="s">
        <v>12</v>
      </c>
      <c r="N1" s="2" t="s">
        <v>13</v>
      </c>
      <c r="O1" s="2" t="s">
        <v>14</v>
      </c>
    </row>
    <row r="2" spans="1:15">
      <c r="A2" t="s">
        <v>15</v>
      </c>
      <c r="B2" t="s">
        <v>16</v>
      </c>
      <c r="C2">
        <v>1</v>
      </c>
      <c r="D2">
        <v>10.9</v>
      </c>
      <c r="E2">
        <v>10.9</v>
      </c>
      <c r="F2" s="1">
        <v>45658</v>
      </c>
      <c r="G2" s="1">
        <v>45663</v>
      </c>
      <c r="H2" t="s">
        <v>17</v>
      </c>
      <c r="I2" t="s">
        <v>18</v>
      </c>
      <c r="J2">
        <v>4</v>
      </c>
      <c r="K2" t="s">
        <v>19</v>
      </c>
      <c r="L2" t="s">
        <v>2572</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2573</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2574</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2574</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2575</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2575</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2575</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2575</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2575</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2575</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2575</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2575</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2576</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2577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2578</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2578</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2578</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2579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2579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2580</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2580</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2580</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2580</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2580</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2580</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2581</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2582</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2583</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2584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2571</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2585</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2586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2575</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2575</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2575</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2575</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2575</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2575</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2575</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2575</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2575</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2587</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2578</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2580</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2580</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2581</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2583</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2583</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2588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2589</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2589</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2590</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2591</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2575</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2575</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2575</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2575</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2575</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2575</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2575</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2575</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2575</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2575</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2575</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2575</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2578</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2578</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2578</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2578</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2580</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2580</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2581</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2581</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2583</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2589</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2589</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2571</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2591</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2592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2575</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2575</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2575</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2575</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2575</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2575</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2575</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2575</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2575</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2593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2593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2578</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2583</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2591</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2573</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2574</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2592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2575</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2575</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2575</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2577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2580</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2583</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2571</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2575</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2575</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2575</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2575</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2575</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2575</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2575</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2575</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2575</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2575</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2594</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2595</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2593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2578</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2578</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2578</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2578</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2579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2579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2580</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2580</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2580</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2580</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2596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2581</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2581</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2581</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2588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2574</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2597</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2592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2575</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2575</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2575</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2575</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2575</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2575</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2575</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2575</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2575</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2575</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2575</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2575</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2575</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2575</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2595</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2593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2578</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2578</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2578</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2578</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2579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2579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2580</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2580</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2580</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2580</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2581</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2583</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2583</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2588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2588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2588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2598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2573</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2574</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2575</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2575</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2575</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2575</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2575</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2575</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2575</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2575</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2575</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2575</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2575</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2599</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2593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2578</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2580</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2580</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2580</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2582</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2583</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2600</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2588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2589</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2589</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2589</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2591</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2573</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2574</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2575</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2575</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2575</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2575</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2575</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2575</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2575</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2575</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2575</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2575</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2578</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2578</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2580</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2581</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2588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2601</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2591</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2591</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2574</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2575</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2575</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2575</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2575</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2576</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2578</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2578</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2580</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2580</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2580</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2583</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2583</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2602</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2588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2590</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2573</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2592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2575</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2575</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2575</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2575</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2599</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2578</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2578</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2580</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2580</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2581</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2582</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2583</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2591</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2591</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2591</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2574</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2603</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2592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2604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2575</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2575</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2605</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2593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2593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2606</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2580</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2580</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2580</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2588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2589</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2590</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2591</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2603</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2575</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2575</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2575</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2575</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2575</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2575</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2575</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2575</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2575</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2575</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2575</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2575</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2607</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2593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2593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2578</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2578</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2578</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2579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2580</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2580</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2580</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2580</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2608</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2590</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2571</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2573</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2574</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2574</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2575</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2575</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2575</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2575</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2575</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2575</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2575</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2575</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2609</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2578</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2578</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2578</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2578</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2580</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2581</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2583</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2583</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2591</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2573</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2592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2592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2575</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2575</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2575</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2575</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2575</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2575</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2575</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2575</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2575</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2575</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2610</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2587</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2578</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2580</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2580</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2580</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2580</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2580</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2580</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2580</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2580</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2611</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2591</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2591</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2591</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2591</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2573</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2573</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2612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2574</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2575</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2575</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2575</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2575</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2575</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2575</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2575</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2575</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2575</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2575</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2594</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2578</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2578</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2580</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2580</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2580</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2581</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2582</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2583</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2588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2591</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2573</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2575</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2575</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2575</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2575</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2575</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2575</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2575</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2575</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2575</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2578</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2578</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2579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2579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2579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2580</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2580</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2580</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2583</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2588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2571</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2591</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2591</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2591</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2573</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2604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2575</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2575</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2575</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2575</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2575</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2578</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2578</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2580</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2580</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2580</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2581</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2583</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2602</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2571</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2574</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2592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2575</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2575</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2575</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2575</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2575</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2575</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2575</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2575</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2575</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2575</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2575</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2575</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2575</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2575</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2575</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2575</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2607</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2594</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2595</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2578</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2578</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2580</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2580</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2580</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2580</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2596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2583</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2583</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2583</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2571</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2571</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2591</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2573</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2575</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2575</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2575</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2575</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2575</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2575</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2613</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2577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2578</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2580</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2581</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2581</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2582</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2583</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2571</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2591</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2591</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2573</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2592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2575</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2575</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2575</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2575</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2575</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2575</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2575</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2575</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2575</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2575</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2575</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2575</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2607</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2595</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2595</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2593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2580</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2581</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2582</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2582</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2583</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2583</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2583</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2588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2571</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2571</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2614</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2592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2575</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2575</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2575</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2575</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2575</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2575</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2575</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2575</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2575</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2578</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2580</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2580</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2580</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2580</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2581</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2583</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2583</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2588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2615</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2591</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2574</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2574</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2575</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2575</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2575</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2575</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2575</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2575</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2575</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2575</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2575</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2575</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2578</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2578</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2578</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2579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2579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2579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2580</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2580</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2580</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2580</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2582</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2582</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2583</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2602</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2608</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2589</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2584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2571</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2616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2573</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2614</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2575</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2575</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2575</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2575</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2575</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2575</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2575</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2578</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2578</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2578</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2578</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2579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2580</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2580</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2583</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2583</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2571</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2591</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2591</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2573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2592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2575</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2575</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2575</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2617</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2580</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2580</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2580</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2580</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2596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2581</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2581</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2583</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2583</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2583</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2590</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2571</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2573</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2574</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2592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2575</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2575</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2575</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2575</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2575</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2575</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2575</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2575</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2607</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2587</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2580</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2580</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2581</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2618</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2588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2589</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2589</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2591</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2573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2592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2575</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2575</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2575</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2575</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2575</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2577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2577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2593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2580</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2583</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2588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2588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2588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2591</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2591</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2591</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2592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2575</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2575</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2575</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2575</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2575</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2575</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2575</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2575</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2575</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2575</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2575</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2576</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2578</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2578</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2578</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2579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2579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2580</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2580</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2580</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2581</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2582</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2583</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2583</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2583</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2615</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2591</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2614</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2575</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2575</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2575</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2575</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2575</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2575</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2575</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2575</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2575</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2575</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2575</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2575</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2575</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2578</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2578</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2578</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2578</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2579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2580</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2580</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2580</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2580</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2580</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2580</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2581</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2583</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2583</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2589</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2601</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2571</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2591</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2573</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2592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2592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2604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2575</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2575</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2575</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2575</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2575</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2575</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2575</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2575</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2575</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2594</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2619</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2595</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2578</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2578</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2578</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2578</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2579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2580</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2580</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2580</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2580</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2580</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2596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2611</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2582</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2583</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2571</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2591</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2614</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2575</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2575</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2575</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2575</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2575</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2593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2578</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2578</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2578</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2578</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2580</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2580</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2580</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2583</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2589</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2591</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2591</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2591</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2573</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2592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2592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2575</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2575</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2575</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2575</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2575</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2575</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2579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2588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2589</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2571</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2591</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2574</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2574</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2592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2575</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2575</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2575</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2575</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2575</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2575</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2575</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2575</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2575</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2575</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2575</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2607</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2587</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2595</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2595</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2577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2578</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2578</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2578</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2579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2580</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2580</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2580</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2580</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2580</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2580</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2580</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2580</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2583</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2583</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2583</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2571</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2573</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2575</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2575</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2575</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2613</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2578</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2578</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2580</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2580</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2580</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2611</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2588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2590</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2591</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2591</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2591</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2591</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2591</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2573</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2574</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2574</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2592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2575</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2575</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2575</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2575</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2575</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2575</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2575</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2575</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2575</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2575</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2575</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2576</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2593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2578</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2578</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2579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2580</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2580</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2580</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2580</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2580</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2581</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2583</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2588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2589</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2591</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2591</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2591</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2591</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2573</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2573</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2612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2614</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2620</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2575</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2575</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2575</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2575</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2575</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2575</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2575</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2587</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2578</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2580</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2580</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2580</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2608</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2588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2589</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2621</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2573</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2574</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2574</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2575</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2575</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2575</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2575</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2575</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2575</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2575</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2575</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2607</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2619</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2595</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2595</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2577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2578</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2578</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2580</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2580</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2580</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2580</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2582</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2583</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2583</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2589</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2589</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2601</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2622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2571</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2598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2575</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2575</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2575</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2575</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2575</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2575</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2575</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2575</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2578</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2579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2582</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2583</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2585</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2574</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2614</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2592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2575</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2575</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2575</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2575</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2575</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2575</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2575</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2575</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2575</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2575</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2575</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2575</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2578</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2578</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2606</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2579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2579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2580</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2580</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2580</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2580</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2580</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2582</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2583</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2583</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2589</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2589</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2590</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2591</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2574</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2592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2575</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2575</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2575</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2575</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2575</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2575</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2575</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2575</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2575</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2575</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2575</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2575</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2595</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2578</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2578</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2578</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2578</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2579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2580</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2580</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2580</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2580</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2580</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2581</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2583</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2583</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2588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2589</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2571</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2591</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2591</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2591</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2591</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2573</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2573</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2574</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2574</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2592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2604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2575</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2575</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2575</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2575</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2575</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2575</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2575</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2575</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2575</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2575</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2575</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2619</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2595</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2577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2577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2578</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2578</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2579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2579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2579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2580</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2580</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2580</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2580</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2580</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2580</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2583</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2623</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2623</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2589</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2589</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2591</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2591</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2592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2575</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2575</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2575</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2575</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2575</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2575</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2575</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2575</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2575</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2575</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2575</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2613</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2595</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2578</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2578</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2606</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2579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2579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2579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2579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2580</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2580</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2580</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2581</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2581</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2583</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2583</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2583</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2623</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2588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2591</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2591</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2574</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2574</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2614</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2592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2575</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2575</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2575</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2575</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2575</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2575</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2575</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2575</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2575</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2575</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2575</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2594</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2578</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2578</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2578</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2580</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2580</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2583</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2583</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2590</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2622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2571</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2591</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2591</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2616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2592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2604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2575</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2575</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2575</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2575</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2575</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2594</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2578</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2578</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2606</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2580</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2580</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2580</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2580</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2581</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2581</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2583</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2583</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2623</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2591</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2591</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2591</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2591</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2573</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2612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2603</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2575</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2575</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2575</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2575</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2575</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2575</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2575</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2575</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2575</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2619</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2593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2578</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2578</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2580</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2580</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2580</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2580</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2580</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2581</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2581</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2582</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2590</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2591</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2574</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2592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2575</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2575</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2575</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2575</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2613</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2578</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2578</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2606</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2580</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2580</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2580</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2580</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2581</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2583</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2583</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2583</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2602</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2588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2588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2589</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2589</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2591</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2592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2575</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2575</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2575</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2575</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2575</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2578</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2578</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2580</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2580</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2580</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2581</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2589</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2571</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2591</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2591</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2591</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2621</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2573</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2575</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2575</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2575</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2575</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2575</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2575</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2575</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2594</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2595</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2595</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2595</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2577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2578</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2578</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2579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2579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2580</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2580</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2581</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2583</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2600</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2590</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2591</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2573</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2573</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2592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2604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2575</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2575</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2575</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2575</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2575</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2575</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2575</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2575</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2575</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2575</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2575</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2575</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2575</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2575</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2575</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2607</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2578</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2578</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2578</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2579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2580</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2580</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2580</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2580</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2582</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2583</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2583</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2583</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2589</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2589</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2590</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2571</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2591</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2621</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2573</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2573</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2574</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2575</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2575</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2575</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2575</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2575</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2575</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2575</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2575</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2577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2577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2578</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2578</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2578</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2578</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2579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2580</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2580</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2580</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2580</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2580</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2580</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2580</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2596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2582</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2583</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2583</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2583</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2583</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2583</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2623</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2600</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2571</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2591</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2591</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2624</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2573</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2573</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2573</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2574</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2620</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2575</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2575</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2575</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2575</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2575</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2575</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2575</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2575</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2613</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2587</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2577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2593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2578</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2578</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2578</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2579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2579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2580</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2580</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2581</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2581</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2583</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2588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2588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2589</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2622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2571</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2591</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2591</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2573</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2573</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2573</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2574</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2592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2625</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2575</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2575</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2575</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2575</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2575</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2575</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2575</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2575</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2575</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2575</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2575</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2587</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2593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2578</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2578</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2579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2580</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2580</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2580</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2580</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2580</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2581</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2581</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2589</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2589</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2589</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2589</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2590</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2622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2571</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2571</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2598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2591</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2591</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2573</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2573</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2575</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2575</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2575</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2575</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2575</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2575</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2594</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2619</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2593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2578</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2578</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2578</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2578</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2579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2580</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2580</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2580</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2596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2581</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2583</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2583</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2608</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2571</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2591</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2591</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2573</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2573</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2574</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2614</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2603</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2603</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2586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2592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2575</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2575</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2575</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2575</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2575</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2575</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2575</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2575</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2575</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2575</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2575</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2575</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2575</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2575</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2575</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2576</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2593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2578</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2580</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2580</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2580</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2580</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2581</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2581</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2581</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2583</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2583</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2583</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2590</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2591</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2591</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2573</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2574</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2604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2575</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2575</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2575</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2575</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2575</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2575</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2613</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2578</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2578</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2580</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2580</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2580</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2596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2596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2571</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2591</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2574</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2575</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2575</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2575</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2575</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2575</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2575</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2575</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2575</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2575</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2575</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2575</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2575</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2575</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2605</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2593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2578</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2578</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2580</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2580</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2580</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2580</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2580</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2582</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2583</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2583</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2608</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2571</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2591</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2573</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2573</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2614</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2575</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2575</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2575</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2575</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2575</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2575</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2575</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2575</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2594</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2587</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2577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2578</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2580</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2580</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2580</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2580</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2580</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2580</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2583</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2588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2589</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2571</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2591</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2591</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2573</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2575</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2575</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2575</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2575</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2575</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2575</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2575</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2575</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2575</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2575</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2575</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2606</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2580</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2580</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2580</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2580</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2596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2596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2581</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2581</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2582</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2582</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2589</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2571</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2571</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2591</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2616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2574</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2592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2592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2592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2575</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2575</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2575</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2575</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2575</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2587</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2593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2578</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2578</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2580</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2580</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2580</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2580</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2581</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2583</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2583</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2588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2601</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2573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2574</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2592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2592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2604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2575</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2575</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2575</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2575</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2575</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2575</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2607</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2595</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2593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2578</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2580</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2580</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2580</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2581</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2581</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2581</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2582</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2583</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2588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2573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2573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2603</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2575</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2575</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2575</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2575</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2575</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2575</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2577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2578</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2578</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2578</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2579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2580</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2580</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2580</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2580</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2580</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2583</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2588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2589</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2571</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2591</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2591</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2573</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2597</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2604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2575</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2575</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2575</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2575</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2575</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2575</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2575</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2575</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2575</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2575</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2575</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2575</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2578</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2579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2579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2579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2580</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2580</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2580</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2580</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2583</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2583</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2583</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2623</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2600</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2588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2591</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2591</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2591</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2591</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2573</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2573</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2592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2575</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2575</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2575</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2575</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2575</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2575</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2575</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2575</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2575</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2575</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2575</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2575</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2595</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2595</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2578</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2578</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2578</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2579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2579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2580</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2596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2581</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2581</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2583</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2602</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2589</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2589</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2571</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2591</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2591</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2591</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2573</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2573</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2614</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2592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2592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2575</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2575</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2575</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2575</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2575</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2575</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2575</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2575</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2610</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2579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2579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2579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2580</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2580</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2580</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2580</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2580</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2580</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2583</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2598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2591</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2573</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2574</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2620</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2575</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2575</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2575</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2575</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2575</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2575</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2575</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2599</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2587</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2595</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2578</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2578</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2578</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2578</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2580</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2580</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2580</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2581</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2582</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2582</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2583</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2583</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2589</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2571</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2591</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2591</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2591</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2591</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2573</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2574</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2592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2620</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2575</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2575</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2575</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2575</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2575</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2575</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2575</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2575</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2575</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2578</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2579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2580</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2580</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2580</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2580</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2580</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2596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2583</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2583</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2583</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2588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2588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2591</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2573</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2575</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2575</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2594</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2578</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2578</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2578</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2580</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2580</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2580</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2580</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2588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2590</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2591</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2591</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2591</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2592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2592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2575</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2575</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2575</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2575</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2575</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2575</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2575</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2575</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2575</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2575</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2593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2578</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2578</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2580</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2580</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2580</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2580</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2580</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2580</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2580</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2581</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2581</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2581</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2583</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2588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2589</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2626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2591</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2591</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2591</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2573</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2603</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2592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2592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2575</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2575</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2575</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2575</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2575</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2575</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2575</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2575</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2575</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2575</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2575</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2607</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2595</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2593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2579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2580</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2580</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2580</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2580</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2580</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2580</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2580</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2580</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2596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2583</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2583</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2583</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2583</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2588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2589</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2590</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2590</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2571</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2591</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2591</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2573</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2573</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2597</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2614</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2620</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2575</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2575</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2575</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2575</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2575</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2575</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2575</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2575</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2575</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2575</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2575</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2575</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2575</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2607</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2595</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2577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2577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2578</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2578</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2580</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2580</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2580</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2580</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2580</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2580</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2580</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2580</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2580</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2580</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2581</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2581</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2581</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2583</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2583</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2601</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2590</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2590</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2622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2571</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2591</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2573</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2573</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2575</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2575</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2575</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2575</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2575</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2575</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2575</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2575</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2575</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2575</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2575</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2575</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2578</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2579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2579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2580</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2580</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2580</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2580</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2596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2581</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2581</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2583</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2583</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2588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2589</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2590</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2591</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2591</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2591</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2573</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2604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2575</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2575</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2575</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2575</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2575</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2575</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2575</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2575</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2575</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2595</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2579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2580</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2580</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2580</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2580</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2580</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2583</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2583</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2590</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2591</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2592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2575</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2575</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2575</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2575</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2575</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2595</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2595</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2578</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2580</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2580</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2581</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2583</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2602</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2588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2589</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2591</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2621</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2573</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2573</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2573</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2573</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2573</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2603</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2603</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2592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2575</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2575</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2575</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2575</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2575</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2575</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2575</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2595</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2578</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2578</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2578</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2580</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2580</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2580</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2580</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2580</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2580</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2596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2581</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2583</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2588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2589</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2591</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2591</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2591</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2573</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2573</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2574</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2592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2604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2604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2575</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2575</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2575</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2575</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2575</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2575</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2575</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2575</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2575</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2575</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2593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2580</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2580</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2580</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2580</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2581</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2583</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2583</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2583</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2589</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2589</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2589</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2591</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2591</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2591</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2591</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2591</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2573</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2612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2574</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2574</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2592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2575</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2575</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2575</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2575</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2575</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2575</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2575</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2575</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2576</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2595</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2579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2580</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2580</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2580</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2580</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2580</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2583</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2583</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2583</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2583</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2583</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2571</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2573</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2592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2575</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2575</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2575</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2575</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2575</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2575</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2575</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2575</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2575</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2575</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2575</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2575</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2575</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2575</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2575</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2577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2578</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2579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2579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2579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2579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2580</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2580</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2580</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2580</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2580</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2581</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2583</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2590</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2591</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2591</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2591</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2573</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2627</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2612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2574</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2603</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2592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2592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2575</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2575</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2575</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2575</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2575</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2575</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2575</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2575</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2575</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2575</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2575</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2575</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2575</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2575</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2575</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2594</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2594</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2595</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2593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2578</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2579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2580</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2580</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2580</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2580</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2580</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2580</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2580</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2583</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2583</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2623</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2591</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2575</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2575</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2575</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2575</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2575</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2575</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2575</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2575</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2575</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2575</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2613</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2587</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2576</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2595</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2595</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2578</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2578</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2579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2579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2579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2580</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2580</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2580</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2580</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2580</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2580</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2588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2571</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2591</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2591</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2591</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2573</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2612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2574</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2592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2592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2575</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2575</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2575</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2575</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2575</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2575</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2575</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2575</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2575</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2575</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2575</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2575</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2576</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2577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2578</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2580</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2580</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2580</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2580</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2596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2581</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2581</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2583</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2588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2590</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2591</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2591</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2574</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2574</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2575</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2575</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2575</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2575</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2575</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2575</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2580</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2581</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2583</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2591</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2573</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2575</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2575</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2575</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2575</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2575</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2575</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2575</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2575</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2575</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2575</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2593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2579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2580</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2580</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2582</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2583</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2583</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2590</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2573</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2574</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2575</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2575</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2575</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2575</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2575</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2575</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2575</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2575</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2575</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2575</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2594</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2594</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2587</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2578</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2580</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2580</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2583</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2583</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2583</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2583</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2583</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2583</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2601</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2591</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2616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2621</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2573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2573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2573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2574</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2592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2575</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2575</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2575</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2575</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2575</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2575</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2594</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2595</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2595</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2577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2578</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2580</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2580</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2580</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2580</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2581</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2581</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2582</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2583</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2583</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2589</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2601</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2590</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2571</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2624</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2574</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2574</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2614</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2592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2620</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2575</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2575</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2575</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2575</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2575</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2575</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2575</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2575</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2575</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2575</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2575</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2575</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2575</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2575</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2575</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2575</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2575</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2577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2577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2578</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2579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2580</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2580</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2583</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2588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2589</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2589</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2589</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2590</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2574</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2575</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2575</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2575</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2575</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2575</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2575</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2575</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2575</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2575</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2578</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2578</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2579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2580</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2580</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2580</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2580</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2580</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2596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2583</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2623</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2573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2573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2574</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2592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2604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2575</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2575</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2575</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2575</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2575</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2613</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2578</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2578</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2580</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2580</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2580</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2580</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2580</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2580</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2583</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2598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2591</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2591</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2573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2573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2574</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2604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2575</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2575</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2575</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2575</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2575</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2575</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2575</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2575</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2578</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2578</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2578</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2579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2580</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2580</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2582</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2582</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2583</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2583</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2588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2571</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abSelected="1" workbookViewId="0">
      <selection activeCell="B10" sqref="B10:B18"/>
    </sheetView>
  </sheetViews>
  <sheetFormatPr defaultRowHeight="13.8"/>
  <cols>
    <col min="1" max="1" width="3.69921875" customWidth="1"/>
    <col min="2" max="2" width="52.7968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35" zoomScaleNormal="117" workbookViewId="0">
      <selection activeCell="AF35" sqref="AF35"/>
    </sheetView>
  </sheetViews>
  <sheetFormatPr defaultRowHeight="13.8"/>
  <cols>
    <col min="1" max="1" width="3.296875" customWidth="1"/>
    <col min="2" max="2" width="22.19921875" customWidth="1"/>
    <col min="3" max="4" width="3.296875" customWidth="1"/>
    <col min="26" max="26" width="3.29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3.8"/>
  <cols>
    <col min="1" max="1" width="3.296875" customWidth="1"/>
    <col min="8" max="8" width="37.296875" customWidth="1"/>
  </cols>
  <sheetData>
    <row r="2" spans="2:8">
      <c r="H2" t="s">
        <v>2548</v>
      </c>
    </row>
    <row r="3" spans="2:8">
      <c r="B3" t="s">
        <v>2518</v>
      </c>
    </row>
    <row r="4" spans="2:8">
      <c r="H4" s="11" t="s">
        <v>2549</v>
      </c>
    </row>
    <row r="5" spans="2:8">
      <c r="B5" t="s">
        <v>2519</v>
      </c>
      <c r="H5" s="11" t="s">
        <v>2550</v>
      </c>
    </row>
    <row r="6" spans="2:8">
      <c r="B6" s="5"/>
      <c r="C6" t="s">
        <v>2520</v>
      </c>
      <c r="D6" t="s">
        <v>2526</v>
      </c>
      <c r="H6" t="s">
        <v>2551</v>
      </c>
    </row>
    <row r="7" spans="2:8">
      <c r="B7" s="6"/>
      <c r="C7" t="s">
        <v>2521</v>
      </c>
      <c r="D7" t="s">
        <v>2527</v>
      </c>
    </row>
    <row r="8" spans="2:8">
      <c r="B8" s="7"/>
      <c r="C8" t="s">
        <v>2522</v>
      </c>
      <c r="D8" t="s">
        <v>2528</v>
      </c>
    </row>
    <row r="9" spans="2:8">
      <c r="B9" s="8"/>
      <c r="C9" t="s">
        <v>2523</v>
      </c>
      <c r="D9" t="s">
        <v>2529</v>
      </c>
    </row>
    <row r="10" spans="2:8">
      <c r="B10" s="9"/>
      <c r="C10" t="s">
        <v>2524</v>
      </c>
      <c r="D10" t="s">
        <v>2530</v>
      </c>
    </row>
    <row r="11" spans="2:8">
      <c r="B11" s="2"/>
      <c r="C11" t="s">
        <v>2525</v>
      </c>
      <c r="D11" t="s">
        <v>2531</v>
      </c>
    </row>
    <row r="13" spans="2:8">
      <c r="B13" t="s">
        <v>2532</v>
      </c>
    </row>
    <row r="14" spans="2:8">
      <c r="B14" t="s">
        <v>2533</v>
      </c>
      <c r="C14" t="s">
        <v>2538</v>
      </c>
    </row>
    <row r="15" spans="2:8">
      <c r="B15" t="s">
        <v>2534</v>
      </c>
      <c r="C15" t="s">
        <v>2</v>
      </c>
    </row>
    <row r="16" spans="2:8">
      <c r="B16" t="s">
        <v>2535</v>
      </c>
      <c r="C16" t="s">
        <v>4</v>
      </c>
    </row>
    <row r="17" spans="2:3">
      <c r="B17" t="s">
        <v>2536</v>
      </c>
      <c r="C17" t="s">
        <v>2539</v>
      </c>
    </row>
    <row r="18" spans="2:3">
      <c r="B18" t="s">
        <v>2537</v>
      </c>
      <c r="C18" t="s">
        <v>2540</v>
      </c>
    </row>
    <row r="21" spans="2:3">
      <c r="B21" t="s">
        <v>2541</v>
      </c>
    </row>
    <row r="22" spans="2:3">
      <c r="B22" t="s">
        <v>2542</v>
      </c>
      <c r="C22" t="s">
        <v>2543</v>
      </c>
    </row>
    <row r="23" spans="2:3">
      <c r="B23" t="s">
        <v>2544</v>
      </c>
      <c r="C23" t="s">
        <v>2545</v>
      </c>
    </row>
    <row r="24" spans="2: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Pivot2</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asus</cp:lastModifiedBy>
  <dcterms:created xsi:type="dcterms:W3CDTF">2025-06-13T02:42:26Z</dcterms:created>
  <dcterms:modified xsi:type="dcterms:W3CDTF">2026-04-15T18:14:28Z</dcterms:modified>
</cp:coreProperties>
</file>